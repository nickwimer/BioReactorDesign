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eam2/BioReactorDesign/scripts/ma_reactions/0dWillComp/gDCW_conv/"/>
    </mc:Choice>
  </mc:AlternateContent>
  <xr:revisionPtr revIDLastSave="0" documentId="8_{8C932523-3B4C-794E-8E86-97B527D9130F}" xr6:coauthVersionLast="47" xr6:coauthVersionMax="47" xr10:uidLastSave="{00000000-0000-0000-0000-000000000000}"/>
  <bookViews>
    <workbookView xWindow="2560" yWindow="500" windowWidth="25160" windowHeight="19840" activeTab="2" xr2:uid="{C1834598-DB78-4535-86B7-F809BB3EC3AB}"/>
  </bookViews>
  <sheets>
    <sheet name="gDCW vs OD" sheetId="1" r:id="rId1"/>
    <sheet name="gDCW vs OD (2)" sheetId="4" r:id="rId2"/>
    <sheet name="fixedStirConversion" sheetId="2" r:id="rId3"/>
  </sheets>
  <externalReferences>
    <externalReference r:id="rId4"/>
    <externalReference r:id="rId5"/>
  </externalReferences>
  <definedNames>
    <definedName name="Slo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H14" i="2"/>
  <c r="H15" i="2"/>
  <c r="H16" i="2"/>
  <c r="H17" i="2"/>
  <c r="F13" i="2"/>
  <c r="F14" i="2"/>
  <c r="F15" i="2"/>
  <c r="F16" i="2"/>
  <c r="F17" i="2"/>
  <c r="H12" i="2"/>
  <c r="F12" i="2"/>
  <c r="D12" i="2"/>
  <c r="V32" i="4" l="1"/>
  <c r="U32" i="4"/>
  <c r="X32" i="4" s="1"/>
  <c r="V31" i="4"/>
  <c r="U31" i="4"/>
  <c r="X31" i="4" s="1"/>
  <c r="V30" i="4"/>
  <c r="U30" i="4"/>
  <c r="X30" i="4" s="1"/>
  <c r="V29" i="4"/>
  <c r="X29" i="4" s="1"/>
  <c r="U29" i="4"/>
  <c r="V28" i="4"/>
  <c r="U28" i="4"/>
  <c r="X28" i="4" s="1"/>
  <c r="V27" i="4"/>
  <c r="U27" i="4"/>
  <c r="X27" i="4" s="1"/>
  <c r="V26" i="4"/>
  <c r="U26" i="4"/>
  <c r="X26" i="4" s="1"/>
  <c r="V25" i="4"/>
  <c r="X25" i="4" s="1"/>
  <c r="U25" i="4"/>
  <c r="V24" i="4"/>
  <c r="U24" i="4"/>
  <c r="X24" i="4" s="1"/>
  <c r="V23" i="4"/>
  <c r="U23" i="4"/>
  <c r="X23" i="4" s="1"/>
  <c r="V22" i="4"/>
  <c r="U22" i="4"/>
  <c r="X22" i="4" s="1"/>
  <c r="V21" i="4"/>
  <c r="X21" i="4" s="1"/>
  <c r="U21" i="4"/>
  <c r="V20" i="4"/>
  <c r="U20" i="4"/>
  <c r="X20" i="4" s="1"/>
  <c r="V19" i="4"/>
  <c r="U19" i="4"/>
  <c r="X19" i="4" s="1"/>
  <c r="V18" i="4"/>
  <c r="U18" i="4"/>
  <c r="X18" i="4" s="1"/>
  <c r="V17" i="4"/>
  <c r="X17" i="4" s="1"/>
  <c r="U17" i="4"/>
  <c r="V16" i="4"/>
  <c r="U16" i="4"/>
  <c r="X16" i="4" s="1"/>
  <c r="V15" i="4"/>
  <c r="U15" i="4"/>
  <c r="X15" i="4" s="1"/>
  <c r="V14" i="4"/>
  <c r="U14" i="4"/>
  <c r="X14" i="4" s="1"/>
  <c r="AG13" i="4"/>
  <c r="AF13" i="4"/>
  <c r="X13" i="4"/>
  <c r="V13" i="4"/>
  <c r="U13" i="4"/>
  <c r="AK12" i="4"/>
  <c r="AJ12" i="4"/>
  <c r="AI12" i="4"/>
  <c r="AH12" i="4"/>
  <c r="AM12" i="4" s="1"/>
  <c r="V12" i="4"/>
  <c r="U12" i="4"/>
  <c r="X12" i="4" s="1"/>
  <c r="AG11" i="4"/>
  <c r="AF11" i="4"/>
  <c r="AK11" i="4" s="1"/>
  <c r="V11" i="4"/>
  <c r="U11" i="4"/>
  <c r="X11" i="4" s="1"/>
  <c r="AG10" i="4"/>
  <c r="AF10" i="4"/>
  <c r="AK10" i="4" s="1"/>
  <c r="V10" i="4"/>
  <c r="U10" i="4"/>
  <c r="X10" i="4" s="1"/>
  <c r="AL9" i="4"/>
  <c r="AL10" i="4" s="1"/>
  <c r="AL11" i="4" s="1"/>
  <c r="AL12" i="4" s="1"/>
  <c r="AK9" i="4"/>
  <c r="AG9" i="4"/>
  <c r="AF9" i="4"/>
  <c r="AJ9" i="4" s="1"/>
  <c r="V9" i="4"/>
  <c r="U9" i="4"/>
  <c r="X9" i="4" s="1"/>
  <c r="AL8" i="4"/>
  <c r="AK8" i="4"/>
  <c r="AJ8" i="4"/>
  <c r="AG8" i="4"/>
  <c r="AF8" i="4"/>
  <c r="AI8" i="4" s="1"/>
  <c r="V8" i="4"/>
  <c r="U8" i="4"/>
  <c r="X8" i="4" s="1"/>
  <c r="AL7" i="4"/>
  <c r="AK7" i="4"/>
  <c r="AJ7" i="4"/>
  <c r="AI7" i="4"/>
  <c r="AG7" i="4"/>
  <c r="AF7" i="4"/>
  <c r="AH7" i="4" s="1"/>
  <c r="AM7" i="4" s="1"/>
  <c r="V7" i="4"/>
  <c r="U7" i="4"/>
  <c r="X7" i="4" s="1"/>
  <c r="AL6" i="4"/>
  <c r="AK6" i="4"/>
  <c r="AJ6" i="4"/>
  <c r="AI6" i="4"/>
  <c r="AG6" i="4"/>
  <c r="AF6" i="4"/>
  <c r="V6" i="4"/>
  <c r="U6" i="4"/>
  <c r="X6" i="4" s="1"/>
  <c r="AL5" i="4"/>
  <c r="AK5" i="4"/>
  <c r="AJ5" i="4"/>
  <c r="AI5" i="4"/>
  <c r="AH5" i="4"/>
  <c r="AM5" i="4" s="1"/>
  <c r="AG5" i="4"/>
  <c r="AF5" i="4"/>
  <c r="V5" i="4"/>
  <c r="U5" i="4"/>
  <c r="X5" i="4" s="1"/>
  <c r="AL4" i="4"/>
  <c r="AK4" i="4"/>
  <c r="AJ4" i="4"/>
  <c r="AI4" i="4"/>
  <c r="AH4" i="4"/>
  <c r="AM4" i="4" s="1"/>
  <c r="AG4" i="4"/>
  <c r="AF4" i="4"/>
  <c r="V4" i="4"/>
  <c r="U4" i="4"/>
  <c r="X4" i="4" s="1"/>
  <c r="AL3" i="4"/>
  <c r="AG3" i="4"/>
  <c r="AF3" i="4"/>
  <c r="AJ3" i="4" s="1"/>
  <c r="X3" i="4"/>
  <c r="V3" i="4"/>
  <c r="U3" i="4"/>
  <c r="D3" i="4" a="1"/>
  <c r="E3" i="4" s="1"/>
  <c r="AH2" i="4"/>
  <c r="AH6" i="4" s="1"/>
  <c r="AM6" i="4" s="1"/>
  <c r="F6" i="2"/>
  <c r="H4" i="2"/>
  <c r="H5" i="2"/>
  <c r="H6" i="2"/>
  <c r="H7" i="2"/>
  <c r="H8" i="2"/>
  <c r="H3" i="2"/>
  <c r="F4" i="2"/>
  <c r="F5" i="2"/>
  <c r="F7" i="2"/>
  <c r="F8" i="2"/>
  <c r="F3" i="2"/>
  <c r="D3" i="2"/>
  <c r="D4" i="2"/>
  <c r="D5" i="2"/>
  <c r="D6" i="2"/>
  <c r="D7" i="2"/>
  <c r="D8" i="2"/>
  <c r="AH3" i="4" l="1"/>
  <c r="D5" i="4"/>
  <c r="E5" i="4"/>
  <c r="AH11" i="4"/>
  <c r="D4" i="4"/>
  <c r="E4" i="4"/>
  <c r="AK3" i="4"/>
  <c r="D6" i="4"/>
  <c r="AH10" i="4"/>
  <c r="AM10" i="4" s="1"/>
  <c r="AI11" i="4"/>
  <c r="AI3" i="4"/>
  <c r="E6" i="4"/>
  <c r="AH9" i="4"/>
  <c r="AM9" i="4" s="1"/>
  <c r="AI10" i="4"/>
  <c r="AJ11" i="4"/>
  <c r="D3" i="4"/>
  <c r="AH8" i="4"/>
  <c r="AM8" i="4" s="1"/>
  <c r="AI9" i="4"/>
  <c r="AJ10" i="4"/>
  <c r="AM11" i="4" l="1"/>
  <c r="AM3" i="4"/>
  <c r="H31" i="2" l="1"/>
  <c r="H32" i="2"/>
  <c r="H33" i="2"/>
  <c r="H34" i="2"/>
  <c r="H35" i="2"/>
  <c r="H30" i="2"/>
  <c r="F31" i="2"/>
  <c r="F32" i="2"/>
  <c r="F33" i="2"/>
  <c r="F34" i="2"/>
  <c r="F35" i="2"/>
  <c r="F30" i="2"/>
  <c r="D31" i="2"/>
  <c r="D32" i="2"/>
  <c r="D33" i="2"/>
  <c r="D34" i="2"/>
  <c r="D35" i="2"/>
  <c r="D30" i="2"/>
  <c r="H22" i="2"/>
  <c r="H23" i="2"/>
  <c r="H24" i="2"/>
  <c r="H25" i="2"/>
  <c r="H26" i="2"/>
  <c r="H21" i="2"/>
  <c r="F22" i="2"/>
  <c r="F23" i="2"/>
  <c r="F24" i="2"/>
  <c r="F25" i="2"/>
  <c r="F26" i="2"/>
  <c r="F21" i="2"/>
  <c r="D21" i="2"/>
  <c r="D22" i="2"/>
  <c r="D23" i="2"/>
  <c r="D24" i="2"/>
  <c r="D25" i="2"/>
  <c r="D26" i="2"/>
  <c r="D13" i="2"/>
  <c r="D14" i="2"/>
  <c r="D15" i="2"/>
  <c r="D16" i="2"/>
  <c r="D17" i="2"/>
  <c r="W32" i="1"/>
  <c r="V32" i="1"/>
  <c r="U32" i="1"/>
  <c r="W31" i="1"/>
  <c r="V31" i="1"/>
  <c r="U31" i="1"/>
  <c r="W30" i="1"/>
  <c r="V30" i="1"/>
  <c r="U30" i="1"/>
  <c r="W29" i="1"/>
  <c r="V29" i="1"/>
  <c r="U29" i="1"/>
  <c r="W28" i="1"/>
  <c r="V28" i="1"/>
  <c r="U28" i="1"/>
  <c r="W27" i="1"/>
  <c r="V27" i="1"/>
  <c r="U27" i="1"/>
  <c r="W26" i="1"/>
  <c r="V26" i="1"/>
  <c r="U26" i="1"/>
  <c r="W25" i="1"/>
  <c r="V25" i="1"/>
  <c r="U25" i="1"/>
  <c r="W24" i="1"/>
  <c r="V24" i="1"/>
  <c r="U24" i="1"/>
  <c r="W23" i="1"/>
  <c r="V23" i="1"/>
  <c r="U23" i="1"/>
  <c r="W22" i="1"/>
  <c r="V22" i="1"/>
  <c r="U22" i="1"/>
  <c r="W21" i="1"/>
  <c r="V21" i="1"/>
  <c r="U21" i="1"/>
  <c r="W20" i="1"/>
  <c r="V20" i="1"/>
  <c r="U20" i="1"/>
  <c r="W19" i="1"/>
  <c r="V19" i="1"/>
  <c r="U19" i="1"/>
  <c r="W18" i="1"/>
  <c r="V18" i="1"/>
  <c r="U18" i="1"/>
  <c r="W17" i="1"/>
  <c r="V17" i="1"/>
  <c r="U17" i="1"/>
  <c r="W16" i="1"/>
  <c r="V16" i="1"/>
  <c r="U16" i="1"/>
  <c r="W15" i="1"/>
  <c r="V15" i="1"/>
  <c r="U15" i="1"/>
  <c r="W14" i="1"/>
  <c r="V14" i="1"/>
  <c r="U14" i="1"/>
  <c r="AA13" i="1"/>
  <c r="Z13" i="1"/>
  <c r="W13" i="1"/>
  <c r="V13" i="1"/>
  <c r="U13" i="1"/>
  <c r="AB2" i="1"/>
  <c r="AB12" i="1"/>
  <c r="AC12" i="1"/>
  <c r="AD12" i="1"/>
  <c r="AE12" i="1"/>
  <c r="AF3" i="1"/>
  <c r="AF4" i="1"/>
  <c r="AF5" i="1"/>
  <c r="AF6" i="1"/>
  <c r="AF7" i="1"/>
  <c r="AF8" i="1"/>
  <c r="AF9" i="1"/>
  <c r="AF10" i="1"/>
  <c r="AF11" i="1"/>
  <c r="AF12" i="1"/>
  <c r="AG12" i="1"/>
  <c r="W12" i="1"/>
  <c r="V12" i="1"/>
  <c r="U12" i="1"/>
  <c r="Z11" i="1"/>
  <c r="AD11" i="1" s="1"/>
  <c r="AB11" i="1"/>
  <c r="AA11" i="1"/>
  <c r="W11" i="1"/>
  <c r="V11" i="1"/>
  <c r="U11" i="1"/>
  <c r="Z10" i="1"/>
  <c r="AB10" i="1" s="1"/>
  <c r="AD10" i="1"/>
  <c r="AE10" i="1"/>
  <c r="AA10" i="1"/>
  <c r="W10" i="1"/>
  <c r="V10" i="1"/>
  <c r="U10" i="1"/>
  <c r="Z9" i="1"/>
  <c r="AB9" i="1" s="1"/>
  <c r="AA9" i="1"/>
  <c r="W9" i="1"/>
  <c r="V9" i="1"/>
  <c r="U9" i="1"/>
  <c r="Z8" i="1"/>
  <c r="AD8" i="1" s="1"/>
  <c r="AB8" i="1"/>
  <c r="AA8" i="1"/>
  <c r="W8" i="1"/>
  <c r="V8" i="1"/>
  <c r="U8" i="1"/>
  <c r="Z7" i="1"/>
  <c r="AE7" i="1" s="1"/>
  <c r="AA7" i="1"/>
  <c r="W7" i="1"/>
  <c r="V7" i="1"/>
  <c r="U7" i="1"/>
  <c r="Z6" i="1"/>
  <c r="AC6" i="1" s="1"/>
  <c r="AA6" i="1"/>
  <c r="W6" i="1"/>
  <c r="V6" i="1"/>
  <c r="U6" i="1"/>
  <c r="Z5" i="1"/>
  <c r="AB5" i="1" s="1"/>
  <c r="AA5" i="1"/>
  <c r="W5" i="1"/>
  <c r="V5" i="1"/>
  <c r="U5" i="1"/>
  <c r="Z4" i="1"/>
  <c r="AB4" i="1" s="1"/>
  <c r="AA4" i="1"/>
  <c r="W4" i="1"/>
  <c r="V4" i="1"/>
  <c r="U4" i="1"/>
  <c r="Z3" i="1"/>
  <c r="AB3" i="1" s="1"/>
  <c r="AA3" i="1"/>
  <c r="W3" i="1"/>
  <c r="V3" i="1"/>
  <c r="U3" i="1"/>
  <c r="D3" i="1" a="1"/>
  <c r="D3" i="1"/>
  <c r="E3" i="1"/>
  <c r="D4" i="1"/>
  <c r="E4" i="1"/>
  <c r="D5" i="1"/>
  <c r="E5" i="1"/>
  <c r="D6" i="1"/>
  <c r="E6" i="1"/>
  <c r="AB6" i="1" l="1"/>
  <c r="AC11" i="1"/>
  <c r="AG11" i="1" s="1"/>
  <c r="AE5" i="1"/>
  <c r="AD5" i="1"/>
  <c r="AC10" i="1"/>
  <c r="AC5" i="1"/>
  <c r="AG10" i="1"/>
  <c r="AG5" i="1"/>
  <c r="AE4" i="1"/>
  <c r="AG4" i="1" s="1"/>
  <c r="AD7" i="1"/>
  <c r="AD4" i="1"/>
  <c r="AC7" i="1"/>
  <c r="AC4" i="1"/>
  <c r="AB7" i="1"/>
  <c r="AE6" i="1"/>
  <c r="AE11" i="1"/>
  <c r="AD6" i="1"/>
  <c r="AG6" i="1" s="1"/>
  <c r="AC8" i="1"/>
  <c r="AG8" i="1" s="1"/>
  <c r="AE3" i="1"/>
  <c r="AE9" i="1"/>
  <c r="AD3" i="1"/>
  <c r="AD9" i="1"/>
  <c r="AC3" i="1"/>
  <c r="AE8" i="1"/>
  <c r="AC9" i="1"/>
  <c r="AG7" i="1" l="1"/>
  <c r="AG3" i="1"/>
  <c r="AG9" i="1"/>
</calcChain>
</file>

<file path=xl/sharedStrings.xml><?xml version="1.0" encoding="utf-8"?>
<sst xmlns="http://schemas.openxmlformats.org/spreadsheetml/2006/main" count="95" uniqueCount="39">
  <si>
    <t>From experiment 4 approximation for this experiment</t>
  </si>
  <si>
    <t>Combined</t>
  </si>
  <si>
    <t>Not great</t>
  </si>
  <si>
    <t>OD</t>
  </si>
  <si>
    <t>gDCW/L</t>
  </si>
  <si>
    <t>Current experiment approximation</t>
  </si>
  <si>
    <t>EXP</t>
  </si>
  <si>
    <t>Linear</t>
  </si>
  <si>
    <t>Linear  0</t>
  </si>
  <si>
    <t>Hours</t>
  </si>
  <si>
    <t>OD over time</t>
  </si>
  <si>
    <t>EST</t>
  </si>
  <si>
    <t>taken from last point</t>
  </si>
  <si>
    <t>OD600</t>
  </si>
  <si>
    <t>taken from 2nd to last point</t>
  </si>
  <si>
    <t>y</t>
  </si>
  <si>
    <t>x</t>
  </si>
  <si>
    <t>Conversion based on Exp. 4</t>
  </si>
  <si>
    <t>BR1</t>
  </si>
  <si>
    <t>BR2</t>
  </si>
  <si>
    <t>BR3</t>
  </si>
  <si>
    <t>Fit DO data too</t>
  </si>
  <si>
    <t>g/L</t>
  </si>
  <si>
    <t>mol/m^3</t>
  </si>
  <si>
    <t>g/L = kg/m^3</t>
  </si>
  <si>
    <t>Assuming sat. conc. is 0.214 mol/m^3</t>
  </si>
  <si>
    <t>Glucose Conversion</t>
  </si>
  <si>
    <t>mol. Weights</t>
  </si>
  <si>
    <t>glucose</t>
  </si>
  <si>
    <t>muconate</t>
  </si>
  <si>
    <t>g/mol</t>
  </si>
  <si>
    <t>Muconate Conversion</t>
  </si>
  <si>
    <t>gDCW/L = -0.0078(OD600)^2 + 0.4911(OD600) - 0.0632</t>
  </si>
  <si>
    <t>X2</t>
  </si>
  <si>
    <t>X</t>
  </si>
  <si>
    <t>C</t>
  </si>
  <si>
    <t>SUM</t>
  </si>
  <si>
    <t>DCW</t>
  </si>
  <si>
    <t>DO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</si>
</sst>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409]m/d/yy\ h:mm\ AM/PM;@"/>
    <numFmt numFmtId="169" formatCode="0.0"/>
  </numFmts>
  <fonts count="4" x14ac:knownFonts="1">
    <font>
      <sz val="11"/>
      <color theme="1"/>
      <name val="Aptos Narrow"/>
      <family val="2"/>
      <scheme val="minor"/>
    </font>
    <font>
      <sz val="9"/>
      <color rgb="FF595959"/>
      <name val="Aptos Narrow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8" fontId="2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readingOrder="1"/>
    </xf>
    <xf numFmtId="0" fontId="0" fillId="0" borderId="0" xfId="0" applyAlignment="1">
      <alignment wrapText="1"/>
    </xf>
    <xf numFmtId="169" fontId="0" fillId="0" borderId="0" xfId="0" applyNumberFormat="1"/>
    <xf numFmtId="0" fontId="3" fillId="0" borderId="0" xfId="0" applyFont="1"/>
    <xf numFmtId="2" fontId="0" fillId="0" borderId="0" xfId="0" applyNumberFormat="1"/>
    <xf numFmtId="2" fontId="3" fillId="0" borderId="0" xfId="0" applyNumberFormat="1" applyFont="1"/>
  </cellXfs>
  <cellStyles count="2">
    <cellStyle name="Normal" xfId="0" builtinId="0"/>
    <cellStyle name="Normal 2" xfId="1" xr:uid="{1AF185D7-3A71-414F-BB82-BD8539392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241404199475063"/>
                  <c:y val="2.2757821552723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OD'!$B$3:$B$11</c:f>
              <c:numCache>
                <c:formatCode>General</c:formatCode>
                <c:ptCount val="9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</c:numCache>
            </c:numRef>
          </c:xVal>
          <c:yVal>
            <c:numRef>
              <c:f>'gDCW vs OD'!$C$3:$C$11</c:f>
              <c:numCache>
                <c:formatCode>General</c:formatCode>
                <c:ptCount val="9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C-47AE-898D-147A0D19F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391944"/>
        <c:axId val="1119387264"/>
      </c:scatterChart>
      <c:valAx>
        <c:axId val="11193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87264"/>
        <c:crosses val="autoZero"/>
        <c:crossBetween val="midCat"/>
      </c:valAx>
      <c:valAx>
        <c:axId val="11193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9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327449693788276"/>
                  <c:y val="3.99267279090113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OD'!$J$7:$J$10</c:f>
              <c:numCache>
                <c:formatCode>General</c:formatCode>
                <c:ptCount val="4"/>
                <c:pt idx="0">
                  <c:v>24.466666666666669</c:v>
                </c:pt>
                <c:pt idx="1">
                  <c:v>27.3</c:v>
                </c:pt>
                <c:pt idx="2">
                  <c:v>28.1</c:v>
                </c:pt>
                <c:pt idx="3">
                  <c:v>23.95</c:v>
                </c:pt>
              </c:numCache>
            </c:numRef>
          </c:xVal>
          <c:yVal>
            <c:numRef>
              <c:f>'gDCW vs OD'!$K$7:$K$10</c:f>
              <c:numCache>
                <c:formatCode>General</c:formatCode>
                <c:ptCount val="4"/>
                <c:pt idx="0">
                  <c:v>7.867500000000005</c:v>
                </c:pt>
                <c:pt idx="1">
                  <c:v>7.9375000000000195</c:v>
                </c:pt>
                <c:pt idx="2">
                  <c:v>7.9874999999999918</c:v>
                </c:pt>
                <c:pt idx="3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E-41AD-B420-BB3B83E93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96239"/>
        <c:axId val="166597319"/>
      </c:scatterChart>
      <c:valAx>
        <c:axId val="1665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7319"/>
        <c:crosses val="autoZero"/>
        <c:crossBetween val="midCat"/>
      </c:valAx>
      <c:valAx>
        <c:axId val="16659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5384951881016"/>
          <c:y val="5.6994401711346773E-2"/>
          <c:w val="0.8021010498687664"/>
          <c:h val="0.8105200491557053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'gDCW vs OD'!$R$3:$R$15</c:f>
              <c:numCache>
                <c:formatCode>General</c:formatCode>
                <c:ptCount val="13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  <c:pt idx="9">
                  <c:v>24.466666666666669</c:v>
                </c:pt>
                <c:pt idx="10">
                  <c:v>27.3</c:v>
                </c:pt>
                <c:pt idx="11">
                  <c:v>28.1</c:v>
                </c:pt>
                <c:pt idx="12">
                  <c:v>23.95</c:v>
                </c:pt>
              </c:numCache>
            </c:numRef>
          </c:xVal>
          <c:yVal>
            <c:numRef>
              <c:f>'gDCW vs OD'!$S$3:$S$15</c:f>
              <c:numCache>
                <c:formatCode>General</c:formatCode>
                <c:ptCount val="13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  <c:pt idx="9">
                  <c:v>7.867500000000005</c:v>
                </c:pt>
                <c:pt idx="10">
                  <c:v>7.9375000000000195</c:v>
                </c:pt>
                <c:pt idx="11">
                  <c:v>7.9874999999999918</c:v>
                </c:pt>
                <c:pt idx="12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02-42EF-B288-EE33442D4F89}"/>
            </c:ext>
          </c:extLst>
        </c:ser>
        <c:ser>
          <c:idx val="1"/>
          <c:order val="1"/>
          <c:tx>
            <c:v>Fit</c:v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'gDCW vs OD'!$T$3:$T$32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'gDCW vs OD'!$U$3:$U$32</c:f>
              <c:numCache>
                <c:formatCode>General</c:formatCode>
                <c:ptCount val="30"/>
                <c:pt idx="0">
                  <c:v>-4.4800000000000004</c:v>
                </c:pt>
                <c:pt idx="1">
                  <c:v>-1.873627971658494</c:v>
                </c:pt>
                <c:pt idx="2">
                  <c:v>-0.34899807215017375</c:v>
                </c:pt>
                <c:pt idx="3">
                  <c:v>0.73274405668301235</c:v>
                </c:pt>
                <c:pt idx="4">
                  <c:v>1.5718084383347035</c:v>
                </c:pt>
                <c:pt idx="5">
                  <c:v>2.2573739561913326</c:v>
                </c:pt>
                <c:pt idx="6">
                  <c:v>2.8370113424777887</c:v>
                </c:pt>
                <c:pt idx="7">
                  <c:v>3.3391160850245187</c:v>
                </c:pt>
                <c:pt idx="8">
                  <c:v>3.7820038556996529</c:v>
                </c:pt>
                <c:pt idx="9">
                  <c:v>4.1781804666762117</c:v>
                </c:pt>
                <c:pt idx="10">
                  <c:v>4.5365658047764335</c:v>
                </c:pt>
                <c:pt idx="11">
                  <c:v>4.863745984532839</c:v>
                </c:pt>
                <c:pt idx="12">
                  <c:v>5.1647225739268698</c:v>
                </c:pt>
                <c:pt idx="13">
                  <c:v>5.4433833708192942</c:v>
                </c:pt>
                <c:pt idx="14">
                  <c:v>5.7028103661845311</c:v>
                </c:pt>
                <c:pt idx="15">
                  <c:v>5.9454881133660251</c:v>
                </c:pt>
                <c:pt idx="16">
                  <c:v>6.1734488163201835</c:v>
                </c:pt>
                <c:pt idx="17">
                  <c:v>6.3883758840411584</c:v>
                </c:pt>
                <c:pt idx="18">
                  <c:v>6.5916794494616493</c:v>
                </c:pt>
                <c:pt idx="19">
                  <c:v>6.7845524950177172</c:v>
                </c:pt>
                <c:pt idx="20">
                  <c:v>6.9680132703276154</c:v>
                </c:pt>
                <c:pt idx="21">
                  <c:v>7.1429378331179407</c:v>
                </c:pt>
                <c:pt idx="22">
                  <c:v>7.310085350736788</c:v>
                </c:pt>
                <c:pt idx="23">
                  <c:v>7.4701180128743463</c:v>
                </c:pt>
                <c:pt idx="24">
                  <c:v>7.6236168766694075</c:v>
                </c:pt>
                <c:pt idx="25">
                  <c:v>7.7710946022683771</c:v>
                </c:pt>
                <c:pt idx="26">
                  <c:v>7.9130057835494778</c:v>
                </c:pt>
                <c:pt idx="27">
                  <c:v>8.0497553991608015</c:v>
                </c:pt>
                <c:pt idx="28">
                  <c:v>8.1817057799151396</c:v>
                </c:pt>
                <c:pt idx="29">
                  <c:v>8.3091823945260366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02-42EF-B288-EE33442D4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01224"/>
        <c:axId val="2101903744"/>
      </c:scatterChart>
      <c:valAx>
        <c:axId val="210190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3744"/>
        <c:crosses val="autoZero"/>
        <c:crossBetween val="midCat"/>
      </c:valAx>
      <c:valAx>
        <c:axId val="21019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799934383202114"/>
          <c:y val="0.25142050885257838"/>
          <c:w val="0.28241982458420328"/>
          <c:h val="0.19395242636984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729702537182853"/>
                  <c:y val="-2.1937882764654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OD'!$R$3:$R$15</c:f>
              <c:numCache>
                <c:formatCode>General</c:formatCode>
                <c:ptCount val="13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  <c:pt idx="9">
                  <c:v>24.466666666666669</c:v>
                </c:pt>
                <c:pt idx="10">
                  <c:v>27.3</c:v>
                </c:pt>
                <c:pt idx="11">
                  <c:v>28.1</c:v>
                </c:pt>
                <c:pt idx="12">
                  <c:v>23.95</c:v>
                </c:pt>
              </c:numCache>
            </c:numRef>
          </c:xVal>
          <c:yVal>
            <c:numRef>
              <c:f>'gDCW vs OD'!$S$3:$S$15</c:f>
              <c:numCache>
                <c:formatCode>General</c:formatCode>
                <c:ptCount val="13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  <c:pt idx="9">
                  <c:v>7.867500000000005</c:v>
                </c:pt>
                <c:pt idx="10">
                  <c:v>7.9375000000000195</c:v>
                </c:pt>
                <c:pt idx="11">
                  <c:v>7.9874999999999918</c:v>
                </c:pt>
                <c:pt idx="12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B2-4368-AB77-9DC611B10486}"/>
            </c:ext>
          </c:extLst>
        </c:ser>
        <c:ser>
          <c:idx val="1"/>
          <c:order val="1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'gDCW vs OD'!$T$3:$T$32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'gDCW vs OD'!$V$3:$V$32</c:f>
              <c:numCache>
                <c:formatCode>General</c:formatCode>
                <c:ptCount val="30"/>
                <c:pt idx="0">
                  <c:v>2.4418000000000002</c:v>
                </c:pt>
                <c:pt idx="1">
                  <c:v>2.6611000000000002</c:v>
                </c:pt>
                <c:pt idx="2">
                  <c:v>2.8803999999999998</c:v>
                </c:pt>
                <c:pt idx="3">
                  <c:v>3.0997000000000003</c:v>
                </c:pt>
                <c:pt idx="4">
                  <c:v>3.319</c:v>
                </c:pt>
                <c:pt idx="5">
                  <c:v>3.5383</c:v>
                </c:pt>
                <c:pt idx="6">
                  <c:v>3.7576000000000001</c:v>
                </c:pt>
                <c:pt idx="7">
                  <c:v>3.9769000000000001</c:v>
                </c:pt>
                <c:pt idx="8">
                  <c:v>4.1962000000000002</c:v>
                </c:pt>
                <c:pt idx="9">
                  <c:v>4.4154999999999998</c:v>
                </c:pt>
                <c:pt idx="10">
                  <c:v>4.6348000000000003</c:v>
                </c:pt>
                <c:pt idx="11">
                  <c:v>4.8540999999999999</c:v>
                </c:pt>
                <c:pt idx="12">
                  <c:v>5.0733999999999995</c:v>
                </c:pt>
                <c:pt idx="13">
                  <c:v>5.2927</c:v>
                </c:pt>
                <c:pt idx="14">
                  <c:v>5.5120000000000005</c:v>
                </c:pt>
                <c:pt idx="15">
                  <c:v>5.7313000000000001</c:v>
                </c:pt>
                <c:pt idx="16">
                  <c:v>5.9505999999999997</c:v>
                </c:pt>
                <c:pt idx="17">
                  <c:v>6.1699000000000002</c:v>
                </c:pt>
                <c:pt idx="18">
                  <c:v>6.3891999999999998</c:v>
                </c:pt>
                <c:pt idx="19">
                  <c:v>6.6085000000000003</c:v>
                </c:pt>
                <c:pt idx="20">
                  <c:v>6.8277999999999999</c:v>
                </c:pt>
                <c:pt idx="21">
                  <c:v>7.0471000000000004</c:v>
                </c:pt>
                <c:pt idx="22">
                  <c:v>7.2664</c:v>
                </c:pt>
                <c:pt idx="23">
                  <c:v>7.4856999999999996</c:v>
                </c:pt>
                <c:pt idx="24">
                  <c:v>7.7050000000000001</c:v>
                </c:pt>
                <c:pt idx="25">
                  <c:v>7.9242999999999997</c:v>
                </c:pt>
                <c:pt idx="26">
                  <c:v>8.1435999999999993</c:v>
                </c:pt>
                <c:pt idx="27">
                  <c:v>8.3628999999999998</c:v>
                </c:pt>
                <c:pt idx="28">
                  <c:v>8.5822000000000003</c:v>
                </c:pt>
                <c:pt idx="29">
                  <c:v>8.8015000000000008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B2-4368-AB77-9DC611B10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01224"/>
        <c:axId val="2101903744"/>
      </c:scatterChart>
      <c:valAx>
        <c:axId val="210190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3744"/>
        <c:crosses val="autoZero"/>
        <c:crossBetween val="midCat"/>
      </c:valAx>
      <c:valAx>
        <c:axId val="21019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86705202312139E-2"/>
          <c:w val="0.80955730533683301"/>
          <c:h val="0.74379973601565696"/>
        </c:manualLayout>
      </c:layout>
      <c:scatterChart>
        <c:scatterStyle val="lineMarker"/>
        <c:varyColors val="0"/>
        <c:ser>
          <c:idx val="1"/>
          <c:order val="0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'gDCW vs OD'!$Z$3:$Z$11</c:f>
              <c:numCache>
                <c:formatCode>General</c:formatCode>
                <c:ptCount val="9"/>
                <c:pt idx="0">
                  <c:v>0</c:v>
                </c:pt>
                <c:pt idx="1">
                  <c:v>4.0000000001164153</c:v>
                </c:pt>
                <c:pt idx="2">
                  <c:v>9.1666666666860692</c:v>
                </c:pt>
                <c:pt idx="3">
                  <c:v>11.916666666744277</c:v>
                </c:pt>
                <c:pt idx="4">
                  <c:v>23.000000000058208</c:v>
                </c:pt>
                <c:pt idx="5">
                  <c:v>26.500000000116415</c:v>
                </c:pt>
                <c:pt idx="6">
                  <c:v>29.916666666744277</c:v>
                </c:pt>
                <c:pt idx="7">
                  <c:v>31.833333333372138</c:v>
                </c:pt>
                <c:pt idx="8">
                  <c:v>34.5</c:v>
                </c:pt>
              </c:numCache>
            </c:numRef>
          </c:xVal>
          <c:yVal>
            <c:numRef>
              <c:f>'gDCW vs OD'!$AG$3:$AG$11</c:f>
              <c:numCache>
                <c:formatCode>General</c:formatCode>
                <c:ptCount val="9"/>
                <c:pt idx="0">
                  <c:v>1.06318</c:v>
                </c:pt>
                <c:pt idx="1">
                  <c:v>1.0887960000118133</c:v>
                </c:pt>
                <c:pt idx="2">
                  <c:v>2.595055299006725</c:v>
                </c:pt>
                <c:pt idx="3">
                  <c:v>4.3263347947874529</c:v>
                </c:pt>
                <c:pt idx="4">
                  <c:v>16.898553500077071</c:v>
                </c:pt>
                <c:pt idx="5">
                  <c:v>21.317492718885244</c:v>
                </c:pt>
                <c:pt idx="6">
                  <c:v>24.66056364895374</c:v>
                </c:pt>
                <c:pt idx="7">
                  <c:v>25.764318150863748</c:v>
                </c:pt>
                <c:pt idx="8">
                  <c:v>25.932942718749988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B7-4250-BB05-5AEA1A3A0599}"/>
            </c:ext>
          </c:extLst>
        </c:ser>
        <c:ser>
          <c:idx val="0"/>
          <c:order val="1"/>
          <c:tx>
            <c:v>Experimental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3.5911854768153978E-2"/>
                  <c:y val="-3.236994219653179E-2"/>
                </c:manualLayout>
              </c:layout>
              <c:numFmt formatCode="#,##0.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OD'!$Z$3:$Z$11</c:f>
              <c:numCache>
                <c:formatCode>General</c:formatCode>
                <c:ptCount val="9"/>
                <c:pt idx="0">
                  <c:v>0</c:v>
                </c:pt>
                <c:pt idx="1">
                  <c:v>4.0000000001164153</c:v>
                </c:pt>
                <c:pt idx="2">
                  <c:v>9.1666666666860692</c:v>
                </c:pt>
                <c:pt idx="3">
                  <c:v>11.916666666744277</c:v>
                </c:pt>
                <c:pt idx="4">
                  <c:v>23.000000000058208</c:v>
                </c:pt>
                <c:pt idx="5">
                  <c:v>26.500000000116415</c:v>
                </c:pt>
                <c:pt idx="6">
                  <c:v>29.916666666744277</c:v>
                </c:pt>
                <c:pt idx="7">
                  <c:v>31.833333333372138</c:v>
                </c:pt>
                <c:pt idx="8">
                  <c:v>34.5</c:v>
                </c:pt>
              </c:numCache>
            </c:numRef>
          </c:xVal>
          <c:yVal>
            <c:numRef>
              <c:f>'gDCW vs OD'!$AA$3:$AA$11</c:f>
              <c:numCache>
                <c:formatCode>General</c:formatCode>
                <c:ptCount val="9"/>
                <c:pt idx="0">
                  <c:v>0.96083333333333332</c:v>
                </c:pt>
                <c:pt idx="1">
                  <c:v>1.3050000000000002</c:v>
                </c:pt>
                <c:pt idx="2">
                  <c:v>2.7116666666666664</c:v>
                </c:pt>
                <c:pt idx="3">
                  <c:v>3.9516666666666667</c:v>
                </c:pt>
                <c:pt idx="4">
                  <c:v>16.958333333333332</c:v>
                </c:pt>
                <c:pt idx="5">
                  <c:v>21.512499999999999</c:v>
                </c:pt>
                <c:pt idx="6">
                  <c:v>24.412500000000001</c:v>
                </c:pt>
                <c:pt idx="7">
                  <c:v>25.154166666666665</c:v>
                </c:pt>
                <c:pt idx="8">
                  <c:v>25.954166666666669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B7-4250-BB05-5AEA1A3A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41839"/>
        <c:axId val="415643999"/>
      </c:scatterChart>
      <c:valAx>
        <c:axId val="41564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43999"/>
        <c:crosses val="autoZero"/>
        <c:crossBetween val="midCat"/>
      </c:valAx>
      <c:valAx>
        <c:axId val="4156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4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3906867891513564"/>
          <c:y val="0.43752291657184472"/>
          <c:w val="0.28315354330708664"/>
          <c:h val="0.33767056574575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821259842519687"/>
                  <c:y val="0.120370370370370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OD'!$R$3:$R$15</c:f>
              <c:numCache>
                <c:formatCode>General</c:formatCode>
                <c:ptCount val="13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  <c:pt idx="9">
                  <c:v>24.466666666666669</c:v>
                </c:pt>
                <c:pt idx="10">
                  <c:v>27.3</c:v>
                </c:pt>
                <c:pt idx="11">
                  <c:v>28.1</c:v>
                </c:pt>
                <c:pt idx="12">
                  <c:v>23.95</c:v>
                </c:pt>
              </c:numCache>
            </c:numRef>
          </c:xVal>
          <c:yVal>
            <c:numRef>
              <c:f>'gDCW vs OD'!$S$3:$S$15</c:f>
              <c:numCache>
                <c:formatCode>General</c:formatCode>
                <c:ptCount val="13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  <c:pt idx="9">
                  <c:v>7.867500000000005</c:v>
                </c:pt>
                <c:pt idx="10">
                  <c:v>7.9375000000000195</c:v>
                </c:pt>
                <c:pt idx="11">
                  <c:v>7.9874999999999918</c:v>
                </c:pt>
                <c:pt idx="12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67-486C-B5AC-4675E431E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01224"/>
        <c:axId val="2101903744"/>
      </c:scatterChart>
      <c:valAx>
        <c:axId val="210190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3744"/>
        <c:crosses val="autoZero"/>
        <c:crossBetween val="midCat"/>
      </c:valAx>
      <c:valAx>
        <c:axId val="21019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1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2241404199475063"/>
                  <c:y val="2.2757821552723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 (2)'!$B$3:$B$11</c:f>
              <c:numCache>
                <c:formatCode>General</c:formatCode>
                <c:ptCount val="9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</c:numCache>
            </c:numRef>
          </c:xVal>
          <c:yVal>
            <c:numRef>
              <c:f>'gDCW vs OD (2)'!$C$3:$C$11</c:f>
              <c:numCache>
                <c:formatCode>General</c:formatCode>
                <c:ptCount val="9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E0-4048-976E-B6B8031A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391944"/>
        <c:axId val="1119387264"/>
      </c:scatterChart>
      <c:valAx>
        <c:axId val="111939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87264"/>
        <c:crosses val="autoZero"/>
        <c:crossBetween val="midCat"/>
      </c:valAx>
      <c:valAx>
        <c:axId val="11193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39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327449693788276"/>
                  <c:y val="3.99267279090113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 (2)'!$J$7:$J$10</c:f>
              <c:numCache>
                <c:formatCode>General</c:formatCode>
                <c:ptCount val="4"/>
                <c:pt idx="0">
                  <c:v>24.466666666666669</c:v>
                </c:pt>
                <c:pt idx="1">
                  <c:v>27.3</c:v>
                </c:pt>
                <c:pt idx="2">
                  <c:v>28.1</c:v>
                </c:pt>
                <c:pt idx="3">
                  <c:v>23.95</c:v>
                </c:pt>
              </c:numCache>
            </c:numRef>
          </c:xVal>
          <c:yVal>
            <c:numRef>
              <c:f>'gDCW vs OD (2)'!$K$7:$K$10</c:f>
              <c:numCache>
                <c:formatCode>General</c:formatCode>
                <c:ptCount val="4"/>
                <c:pt idx="0">
                  <c:v>7.867500000000005</c:v>
                </c:pt>
                <c:pt idx="1">
                  <c:v>7.9375000000000195</c:v>
                </c:pt>
                <c:pt idx="2">
                  <c:v>7.9874999999999918</c:v>
                </c:pt>
                <c:pt idx="3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4A-4941-83FB-1FFDC8BFC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96239"/>
        <c:axId val="166597319"/>
      </c:scatterChart>
      <c:valAx>
        <c:axId val="16659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7319"/>
        <c:crosses val="autoZero"/>
        <c:crossBetween val="midCat"/>
      </c:valAx>
      <c:valAx>
        <c:axId val="166597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9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5384951881016"/>
          <c:y val="5.6994401711346773E-2"/>
          <c:w val="0.8021010498687664"/>
          <c:h val="0.73949018034517944"/>
        </c:manualLayout>
      </c:layout>
      <c:scatterChart>
        <c:scatterStyle val="lineMarker"/>
        <c:varyColors val="0"/>
        <c:ser>
          <c:idx val="0"/>
          <c:order val="0"/>
          <c:tx>
            <c:v>EXP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'gDCW vs OD (2)'!$R$3:$R$24</c:f>
              <c:numCache>
                <c:formatCode>General</c:formatCode>
                <c:ptCount val="22"/>
                <c:pt idx="0">
                  <c:v>11.083333333333334</c:v>
                </c:pt>
                <c:pt idx="1">
                  <c:v>9.8666666666666654</c:v>
                </c:pt>
                <c:pt idx="2">
                  <c:v>10.899999999999999</c:v>
                </c:pt>
                <c:pt idx="3">
                  <c:v>19.633333333333333</c:v>
                </c:pt>
                <c:pt idx="4">
                  <c:v>18.7</c:v>
                </c:pt>
                <c:pt idx="5">
                  <c:v>19.366666666666667</c:v>
                </c:pt>
                <c:pt idx="6">
                  <c:v>19.499999999999996</c:v>
                </c:pt>
                <c:pt idx="7">
                  <c:v>21.366666666666667</c:v>
                </c:pt>
                <c:pt idx="8">
                  <c:v>19.933333333333334</c:v>
                </c:pt>
                <c:pt idx="9">
                  <c:v>2.4</c:v>
                </c:pt>
                <c:pt idx="10">
                  <c:v>20.466666666666672</c:v>
                </c:pt>
                <c:pt idx="11">
                  <c:v>25.033333333333335</c:v>
                </c:pt>
                <c:pt idx="12">
                  <c:v>2.4533333333333336</c:v>
                </c:pt>
                <c:pt idx="13">
                  <c:v>21.8</c:v>
                </c:pt>
                <c:pt idx="14">
                  <c:v>24</c:v>
                </c:pt>
                <c:pt idx="15">
                  <c:v>2.2966666666666664</c:v>
                </c:pt>
                <c:pt idx="16">
                  <c:v>22.200000000000003</c:v>
                </c:pt>
                <c:pt idx="17">
                  <c:v>25.950000000000003</c:v>
                </c:pt>
                <c:pt idx="18">
                  <c:v>24.466666666666669</c:v>
                </c:pt>
                <c:pt idx="19">
                  <c:v>27.3</c:v>
                </c:pt>
                <c:pt idx="20">
                  <c:v>28.1</c:v>
                </c:pt>
                <c:pt idx="21">
                  <c:v>23.95</c:v>
                </c:pt>
              </c:numCache>
            </c:numRef>
          </c:xVal>
          <c:yVal>
            <c:numRef>
              <c:f>'gDCW vs OD (2)'!$S$3:$S$24</c:f>
              <c:numCache>
                <c:formatCode>General</c:formatCode>
                <c:ptCount val="22"/>
                <c:pt idx="0">
                  <c:v>4.5999999999999375</c:v>
                </c:pt>
                <c:pt idx="1">
                  <c:v>4.1999999999999815</c:v>
                </c:pt>
                <c:pt idx="2">
                  <c:v>4.5599999999998531</c:v>
                </c:pt>
                <c:pt idx="3">
                  <c:v>6.1199999999999477</c:v>
                </c:pt>
                <c:pt idx="4">
                  <c:v>6.5600000000001657</c:v>
                </c:pt>
                <c:pt idx="5">
                  <c:v>7.1600000000000108</c:v>
                </c:pt>
                <c:pt idx="6">
                  <c:v>6.3600000000000989</c:v>
                </c:pt>
                <c:pt idx="7">
                  <c:v>7.4600000000000222</c:v>
                </c:pt>
                <c:pt idx="8">
                  <c:v>6.1200000000001253</c:v>
                </c:pt>
                <c:pt idx="9">
                  <c:v>0.84444444444445022</c:v>
                </c:pt>
                <c:pt idx="10">
                  <c:v>6.4699999999999314</c:v>
                </c:pt>
                <c:pt idx="11">
                  <c:v>6.6000000000000725</c:v>
                </c:pt>
                <c:pt idx="12">
                  <c:v>1.0666666666667466</c:v>
                </c:pt>
                <c:pt idx="13">
                  <c:v>6.8100000000000271</c:v>
                </c:pt>
                <c:pt idx="14">
                  <c:v>6.9799999999999862</c:v>
                </c:pt>
                <c:pt idx="15">
                  <c:v>1.0444444444445762</c:v>
                </c:pt>
                <c:pt idx="16">
                  <c:v>6.3399999999999679</c:v>
                </c:pt>
                <c:pt idx="17">
                  <c:v>6.6399999999999793</c:v>
                </c:pt>
                <c:pt idx="18">
                  <c:v>7.867500000000005</c:v>
                </c:pt>
                <c:pt idx="19">
                  <c:v>7.9375000000000195</c:v>
                </c:pt>
                <c:pt idx="20">
                  <c:v>7.9874999999999918</c:v>
                </c:pt>
                <c:pt idx="21">
                  <c:v>7.6875000000000249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A6-D846-835E-DA5DDF50992E}"/>
            </c:ext>
          </c:extLst>
        </c:ser>
        <c:ser>
          <c:idx val="1"/>
          <c:order val="1"/>
          <c:tx>
            <c:v>EST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'gDCW vs OD (2)'!$T$3:$T$32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'gDCW vs OD (2)'!$X$4:$X$32</c:f>
              <c:numCache>
                <c:formatCode>General</c:formatCode>
                <c:ptCount val="29"/>
                <c:pt idx="0">
                  <c:v>0.88779999999999992</c:v>
                </c:pt>
                <c:pt idx="1">
                  <c:v>1.3399000000000001</c:v>
                </c:pt>
                <c:pt idx="2">
                  <c:v>1.7764</c:v>
                </c:pt>
                <c:pt idx="3">
                  <c:v>2.1972999999999998</c:v>
                </c:pt>
                <c:pt idx="4">
                  <c:v>2.6025999999999998</c:v>
                </c:pt>
                <c:pt idx="5">
                  <c:v>2.9922999999999997</c:v>
                </c:pt>
                <c:pt idx="6">
                  <c:v>3.3663999999999996</c:v>
                </c:pt>
                <c:pt idx="7">
                  <c:v>3.7248999999999999</c:v>
                </c:pt>
                <c:pt idx="8">
                  <c:v>4.0677999999999992</c:v>
                </c:pt>
                <c:pt idx="9">
                  <c:v>4.3950999999999993</c:v>
                </c:pt>
                <c:pt idx="10">
                  <c:v>4.7068000000000003</c:v>
                </c:pt>
                <c:pt idx="11">
                  <c:v>5.0028999999999995</c:v>
                </c:pt>
                <c:pt idx="12">
                  <c:v>5.2834000000000003</c:v>
                </c:pt>
                <c:pt idx="13">
                  <c:v>5.5482999999999993</c:v>
                </c:pt>
                <c:pt idx="14">
                  <c:v>5.7975999999999992</c:v>
                </c:pt>
                <c:pt idx="15">
                  <c:v>6.031299999999999</c:v>
                </c:pt>
                <c:pt idx="16">
                  <c:v>6.2494000000000005</c:v>
                </c:pt>
                <c:pt idx="17">
                  <c:v>6.4519000000000002</c:v>
                </c:pt>
                <c:pt idx="18">
                  <c:v>6.6387999999999998</c:v>
                </c:pt>
                <c:pt idx="19">
                  <c:v>6.8101000000000003</c:v>
                </c:pt>
                <c:pt idx="20">
                  <c:v>6.9657999999999998</c:v>
                </c:pt>
                <c:pt idx="21">
                  <c:v>7.1058999999999992</c:v>
                </c:pt>
                <c:pt idx="22">
                  <c:v>7.2304000000000004</c:v>
                </c:pt>
                <c:pt idx="23">
                  <c:v>7.3392999999999997</c:v>
                </c:pt>
                <c:pt idx="24">
                  <c:v>7.432599999999999</c:v>
                </c:pt>
                <c:pt idx="25">
                  <c:v>7.5102999999999991</c:v>
                </c:pt>
                <c:pt idx="26">
                  <c:v>7.5724</c:v>
                </c:pt>
                <c:pt idx="27">
                  <c:v>7.6188999999999991</c:v>
                </c:pt>
                <c:pt idx="28">
                  <c:v>7.649799999999999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A6-D846-835E-DA5DDF50992E}"/>
            </c:ext>
          </c:extLst>
        </c:ser>
        <c:ser>
          <c:idx val="2"/>
          <c:order val="2"/>
          <c:tx>
            <c:v>EST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'gDCW vs OD (2)'!$T$3:$T$32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'gDCW vs OD (2)'!$X$3:$X$32</c:f>
              <c:numCache>
                <c:formatCode>General</c:formatCode>
                <c:ptCount val="30"/>
                <c:pt idx="0">
                  <c:v>0.42010000000000003</c:v>
                </c:pt>
                <c:pt idx="1">
                  <c:v>0.88779999999999992</c:v>
                </c:pt>
                <c:pt idx="2">
                  <c:v>1.3399000000000001</c:v>
                </c:pt>
                <c:pt idx="3">
                  <c:v>1.7764</c:v>
                </c:pt>
                <c:pt idx="4">
                  <c:v>2.1972999999999998</c:v>
                </c:pt>
                <c:pt idx="5">
                  <c:v>2.6025999999999998</c:v>
                </c:pt>
                <c:pt idx="6">
                  <c:v>2.9922999999999997</c:v>
                </c:pt>
                <c:pt idx="7">
                  <c:v>3.3663999999999996</c:v>
                </c:pt>
                <c:pt idx="8">
                  <c:v>3.7248999999999999</c:v>
                </c:pt>
                <c:pt idx="9">
                  <c:v>4.0677999999999992</c:v>
                </c:pt>
                <c:pt idx="10">
                  <c:v>4.3950999999999993</c:v>
                </c:pt>
                <c:pt idx="11">
                  <c:v>4.7068000000000003</c:v>
                </c:pt>
                <c:pt idx="12">
                  <c:v>5.0028999999999995</c:v>
                </c:pt>
                <c:pt idx="13">
                  <c:v>5.2834000000000003</c:v>
                </c:pt>
                <c:pt idx="14">
                  <c:v>5.5482999999999993</c:v>
                </c:pt>
                <c:pt idx="15">
                  <c:v>5.7975999999999992</c:v>
                </c:pt>
                <c:pt idx="16">
                  <c:v>6.031299999999999</c:v>
                </c:pt>
                <c:pt idx="17">
                  <c:v>6.2494000000000005</c:v>
                </c:pt>
                <c:pt idx="18">
                  <c:v>6.4519000000000002</c:v>
                </c:pt>
                <c:pt idx="19">
                  <c:v>6.6387999999999998</c:v>
                </c:pt>
                <c:pt idx="20">
                  <c:v>6.8101000000000003</c:v>
                </c:pt>
                <c:pt idx="21">
                  <c:v>6.9657999999999998</c:v>
                </c:pt>
                <c:pt idx="22">
                  <c:v>7.1058999999999992</c:v>
                </c:pt>
                <c:pt idx="23">
                  <c:v>7.2304000000000004</c:v>
                </c:pt>
                <c:pt idx="24">
                  <c:v>7.3392999999999997</c:v>
                </c:pt>
                <c:pt idx="25">
                  <c:v>7.432599999999999</c:v>
                </c:pt>
                <c:pt idx="26">
                  <c:v>7.5102999999999991</c:v>
                </c:pt>
                <c:pt idx="27">
                  <c:v>7.5724</c:v>
                </c:pt>
                <c:pt idx="28">
                  <c:v>7.6188999999999991</c:v>
                </c:pt>
                <c:pt idx="29">
                  <c:v>7.649799999999999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A6-D846-835E-DA5DDF509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1901224"/>
        <c:axId val="2101903744"/>
      </c:scatterChart>
      <c:valAx>
        <c:axId val="2101901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3744"/>
        <c:crosses val="autoZero"/>
        <c:crossBetween val="midCat"/>
      </c:valAx>
      <c:valAx>
        <c:axId val="21019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gDCW/L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0305463637608401"/>
          <c:y val="0.34612717228542617"/>
          <c:w val="0.15524761682722105"/>
          <c:h val="0.2839235964038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86705202312139E-2"/>
          <c:w val="0.80955730533683301"/>
          <c:h val="0.74379973601565696"/>
        </c:manualLayout>
      </c:layout>
      <c:scatterChart>
        <c:scatterStyle val="lineMarker"/>
        <c:varyColors val="0"/>
        <c:ser>
          <c:idx val="1"/>
          <c:order val="0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'gDCW vs OD (2)'!$AF$3:$AF$11</c:f>
              <c:numCache>
                <c:formatCode>General</c:formatCode>
                <c:ptCount val="9"/>
                <c:pt idx="0">
                  <c:v>0</c:v>
                </c:pt>
                <c:pt idx="1">
                  <c:v>4.0000000001164153</c:v>
                </c:pt>
                <c:pt idx="2">
                  <c:v>9.1666666666860692</c:v>
                </c:pt>
                <c:pt idx="3">
                  <c:v>11.916666666744277</c:v>
                </c:pt>
                <c:pt idx="4">
                  <c:v>23.000000000058208</c:v>
                </c:pt>
                <c:pt idx="5">
                  <c:v>26.500000000116415</c:v>
                </c:pt>
                <c:pt idx="6">
                  <c:v>29.916666666744277</c:v>
                </c:pt>
                <c:pt idx="7">
                  <c:v>31.833333333372138</c:v>
                </c:pt>
                <c:pt idx="8">
                  <c:v>34.5</c:v>
                </c:pt>
              </c:numCache>
            </c:numRef>
          </c:xVal>
          <c:yVal>
            <c:numRef>
              <c:f>'gDCW vs OD (2)'!$AM$3:$AM$11</c:f>
              <c:numCache>
                <c:formatCode>General</c:formatCode>
                <c:ptCount val="9"/>
                <c:pt idx="0">
                  <c:v>1.06318</c:v>
                </c:pt>
                <c:pt idx="1">
                  <c:v>1.0887960000118133</c:v>
                </c:pt>
                <c:pt idx="2">
                  <c:v>2.595055299006725</c:v>
                </c:pt>
                <c:pt idx="3">
                  <c:v>4.3263347947874529</c:v>
                </c:pt>
                <c:pt idx="4">
                  <c:v>16.898553500077071</c:v>
                </c:pt>
                <c:pt idx="5">
                  <c:v>21.317492718885244</c:v>
                </c:pt>
                <c:pt idx="6">
                  <c:v>24.66056364895374</c:v>
                </c:pt>
                <c:pt idx="7">
                  <c:v>25.764318150863748</c:v>
                </c:pt>
                <c:pt idx="8">
                  <c:v>25.932942718749988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11-6C46-9A92-E6C9DC398EE9}"/>
            </c:ext>
          </c:extLst>
        </c:ser>
        <c:ser>
          <c:idx val="0"/>
          <c:order val="1"/>
          <c:tx>
            <c:v>Experimental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3.5911854768153978E-2"/>
                  <c:y val="-3.236994219653179E-2"/>
                </c:manualLayout>
              </c:layout>
              <c:numFmt formatCode="#,##0.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 (2)'!$AF$3:$AF$11</c:f>
              <c:numCache>
                <c:formatCode>General</c:formatCode>
                <c:ptCount val="9"/>
                <c:pt idx="0">
                  <c:v>0</c:v>
                </c:pt>
                <c:pt idx="1">
                  <c:v>4.0000000001164153</c:v>
                </c:pt>
                <c:pt idx="2">
                  <c:v>9.1666666666860692</c:v>
                </c:pt>
                <c:pt idx="3">
                  <c:v>11.916666666744277</c:v>
                </c:pt>
                <c:pt idx="4">
                  <c:v>23.000000000058208</c:v>
                </c:pt>
                <c:pt idx="5">
                  <c:v>26.500000000116415</c:v>
                </c:pt>
                <c:pt idx="6">
                  <c:v>29.916666666744277</c:v>
                </c:pt>
                <c:pt idx="7">
                  <c:v>31.833333333372138</c:v>
                </c:pt>
                <c:pt idx="8">
                  <c:v>34.5</c:v>
                </c:pt>
              </c:numCache>
            </c:numRef>
          </c:xVal>
          <c:yVal>
            <c:numRef>
              <c:f>'gDCW vs OD (2)'!$AG$3:$AG$11</c:f>
              <c:numCache>
                <c:formatCode>General</c:formatCode>
                <c:ptCount val="9"/>
                <c:pt idx="0">
                  <c:v>0.96083333333333332</c:v>
                </c:pt>
                <c:pt idx="1">
                  <c:v>1.3050000000000002</c:v>
                </c:pt>
                <c:pt idx="2">
                  <c:v>2.7116666666666664</c:v>
                </c:pt>
                <c:pt idx="3">
                  <c:v>3.9516666666666667</c:v>
                </c:pt>
                <c:pt idx="4">
                  <c:v>16.958333333333332</c:v>
                </c:pt>
                <c:pt idx="5">
                  <c:v>21.512499999999999</c:v>
                </c:pt>
                <c:pt idx="6">
                  <c:v>24.412500000000001</c:v>
                </c:pt>
                <c:pt idx="7">
                  <c:v>25.154166666666665</c:v>
                </c:pt>
                <c:pt idx="8">
                  <c:v>25.954166666666669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11-6C46-9A92-E6C9DC398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641839"/>
        <c:axId val="415643999"/>
      </c:scatterChart>
      <c:valAx>
        <c:axId val="41564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43999"/>
        <c:crosses val="autoZero"/>
        <c:crossBetween val="midCat"/>
      </c:valAx>
      <c:valAx>
        <c:axId val="41564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64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3906867891513564"/>
          <c:y val="0.43752291657184472"/>
          <c:w val="0.28315354330708664"/>
          <c:h val="0.33767056574575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511242344706913"/>
                  <c:y val="0.10569780853517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'gDCW vs OD (2)'!$D$35:$D$43</c:f>
              <c:numCache>
                <c:formatCode>General</c:formatCode>
                <c:ptCount val="9"/>
                <c:pt idx="0">
                  <c:v>2.4</c:v>
                </c:pt>
                <c:pt idx="1">
                  <c:v>20.466666666666672</c:v>
                </c:pt>
                <c:pt idx="2">
                  <c:v>25.033333333333335</c:v>
                </c:pt>
                <c:pt idx="3">
                  <c:v>2.4533333333333336</c:v>
                </c:pt>
                <c:pt idx="4">
                  <c:v>21.8</c:v>
                </c:pt>
                <c:pt idx="5">
                  <c:v>24</c:v>
                </c:pt>
                <c:pt idx="6">
                  <c:v>2.2966666666666664</c:v>
                </c:pt>
                <c:pt idx="7">
                  <c:v>22.200000000000003</c:v>
                </c:pt>
                <c:pt idx="8">
                  <c:v>25.950000000000003</c:v>
                </c:pt>
              </c:numCache>
            </c:numRef>
          </c:xVal>
          <c:yVal>
            <c:numRef>
              <c:f>'gDCW vs OD (2)'!$E$35:$E$43</c:f>
              <c:numCache>
                <c:formatCode>General</c:formatCode>
                <c:ptCount val="9"/>
                <c:pt idx="0">
                  <c:v>0.84444444444445022</c:v>
                </c:pt>
                <c:pt idx="1">
                  <c:v>6.4699999999999314</c:v>
                </c:pt>
                <c:pt idx="2">
                  <c:v>6.6000000000000725</c:v>
                </c:pt>
                <c:pt idx="3">
                  <c:v>1.0666666666667466</c:v>
                </c:pt>
                <c:pt idx="4">
                  <c:v>6.8100000000000271</c:v>
                </c:pt>
                <c:pt idx="5">
                  <c:v>6.9799999999999862</c:v>
                </c:pt>
                <c:pt idx="6">
                  <c:v>1.0444444444445762</c:v>
                </c:pt>
                <c:pt idx="7">
                  <c:v>6.3399999999999679</c:v>
                </c:pt>
                <c:pt idx="8">
                  <c:v>6.6399999999999793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86-9041-85DD-05D278BA6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52368"/>
        <c:axId val="1031149488"/>
      </c:scatterChart>
      <c:valAx>
        <c:axId val="103115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49488"/>
        <c:crosses val="autoZero"/>
        <c:crossBetween val="midCat"/>
      </c:valAx>
      <c:valAx>
        <c:axId val="10311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5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</xdr:row>
      <xdr:rowOff>106362</xdr:rowOff>
    </xdr:from>
    <xdr:to>
      <xdr:col>7</xdr:col>
      <xdr:colOff>501650</xdr:colOff>
      <xdr:row>27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9F218-6590-46F6-BDA9-5AED832EC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395287</xdr:colOff>
      <xdr:row>11</xdr:row>
      <xdr:rowOff>157162</xdr:rowOff>
    </xdr:from>
    <xdr:to>
      <xdr:col>16</xdr:col>
      <xdr:colOff>90487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26750-6309-4428-B52C-688845334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516844</xdr:colOff>
      <xdr:row>36</xdr:row>
      <xdr:rowOff>46037</xdr:rowOff>
    </xdr:from>
    <xdr:to>
      <xdr:col>24</xdr:col>
      <xdr:colOff>212044</xdr:colOff>
      <xdr:row>51</xdr:row>
      <xdr:rowOff>77787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0F4A2E-C4E2-48AD-8C07-7998F7A3A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553811</xdr:colOff>
      <xdr:row>51</xdr:row>
      <xdr:rowOff>161924</xdr:rowOff>
    </xdr:from>
    <xdr:to>
      <xdr:col>24</xdr:col>
      <xdr:colOff>249011</xdr:colOff>
      <xdr:row>67</xdr:row>
      <xdr:rowOff>10432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58751C-9515-4F3F-8350-15E52607B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407987</xdr:colOff>
      <xdr:row>15</xdr:row>
      <xdr:rowOff>65087</xdr:rowOff>
    </xdr:from>
    <xdr:to>
      <xdr:col>34</xdr:col>
      <xdr:colOff>103187</xdr:colOff>
      <xdr:row>30</xdr:row>
      <xdr:rowOff>96837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0CF9067-520B-4E98-B914-AB546FA85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28575</xdr:colOff>
      <xdr:row>67</xdr:row>
      <xdr:rowOff>170090</xdr:rowOff>
    </xdr:from>
    <xdr:to>
      <xdr:col>24</xdr:col>
      <xdr:colOff>333375</xdr:colOff>
      <xdr:row>83</xdr:row>
      <xdr:rowOff>21772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D2C42C-C960-4C32-A2E5-31BFE64D5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</xdr:row>
      <xdr:rowOff>106362</xdr:rowOff>
    </xdr:from>
    <xdr:to>
      <xdr:col>7</xdr:col>
      <xdr:colOff>501650</xdr:colOff>
      <xdr:row>27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C27A7C-6203-164A-8334-CB738619A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395287</xdr:colOff>
      <xdr:row>11</xdr:row>
      <xdr:rowOff>157162</xdr:rowOff>
    </xdr:from>
    <xdr:to>
      <xdr:col>16</xdr:col>
      <xdr:colOff>90487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3BA650-6DEF-2341-86FB-226FCD993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489630</xdr:colOff>
      <xdr:row>35</xdr:row>
      <xdr:rowOff>130855</xdr:rowOff>
    </xdr:from>
    <xdr:to>
      <xdr:col>25</xdr:col>
      <xdr:colOff>184829</xdr:colOff>
      <xdr:row>50</xdr:row>
      <xdr:rowOff>159430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252E4-0F89-334A-A148-E1AEA4AB8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16554</xdr:colOff>
      <xdr:row>14</xdr:row>
      <xdr:rowOff>54655</xdr:rowOff>
    </xdr:from>
    <xdr:to>
      <xdr:col>39</xdr:col>
      <xdr:colOff>324076</xdr:colOff>
      <xdr:row>29</xdr:row>
      <xdr:rowOff>83230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9C1284-C349-B94E-AE95-A4E28F649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54427</xdr:colOff>
      <xdr:row>30</xdr:row>
      <xdr:rowOff>105227</xdr:rowOff>
    </xdr:from>
    <xdr:to>
      <xdr:col>13</xdr:col>
      <xdr:colOff>340177</xdr:colOff>
      <xdr:row>46</xdr:row>
      <xdr:rowOff>27667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6D3BF6-726A-D241-A8FB-A1C948BE1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wcordell/Dropbox/Accelerate%20proposal%20and%20team%202023/Data/Task%201.3/Pseudomonas%20putida%20TL207/Bioreactor/110424%20Exp%2017%20OMICS%20%231/110424%20Omics%20(Final).xlsx" TargetMode="External"/><Relationship Id="rId1" Type="http://schemas.openxmlformats.org/officeDocument/2006/relationships/externalLinkPath" Target="file:///C:/Users/wcordell/Dropbox/Accelerate%20proposal%20and%20team%202023/Data/Task%201.3/Pseudomonas%20putida%20TL207/Bioreactor/110424%20Exp%2017%20OMICS%20%231/110424%20Omics%20(Final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ream2/Downloads/0325ODDCW%201.xlsx" TargetMode="External"/><Relationship Id="rId1" Type="http://schemas.openxmlformats.org/officeDocument/2006/relationships/externalLinkPath" Target="/Users/jream2/Downloads/0325ODDCW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al_plan"/>
      <sheetName val="Inocula_info"/>
      <sheetName val="CWW"/>
      <sheetName val="Media_info"/>
      <sheetName val="Omics T1-3"/>
      <sheetName val="Sampling Sheet"/>
      <sheetName val="Data analysis (Sample Loss)"/>
      <sheetName val="Data analysis (origonal)"/>
      <sheetName val="gDCW vs OD"/>
      <sheetName val="TC IC TOC"/>
      <sheetName val="CHN DCW analysis"/>
      <sheetName val="Growth rate"/>
      <sheetName val="Gas Analysis Description"/>
      <sheetName val="Background Air"/>
      <sheetName val="Background Air (2)"/>
      <sheetName val="49 Gas Analysis"/>
      <sheetName val="50 Gas Analysis"/>
      <sheetName val="52 Gas Analysis"/>
      <sheetName val="54 Gas Analysis"/>
      <sheetName val="BR1sofware 49"/>
      <sheetName val="BR2sofware 50"/>
      <sheetName val="BR3software 52"/>
      <sheetName val="BR4 software 54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DC6">
            <v>0</v>
          </cell>
          <cell r="DD6">
            <v>0.96083333333333332</v>
          </cell>
        </row>
        <row r="7">
          <cell r="DC7">
            <v>4.0000000001164153</v>
          </cell>
          <cell r="DD7">
            <v>1.3050000000000002</v>
          </cell>
        </row>
        <row r="8">
          <cell r="DC8">
            <v>9.1666666666860692</v>
          </cell>
          <cell r="DD8">
            <v>2.7116666666666664</v>
          </cell>
        </row>
        <row r="9">
          <cell r="DC9">
            <v>11.916666666744277</v>
          </cell>
          <cell r="DD9">
            <v>3.9516666666666667</v>
          </cell>
        </row>
        <row r="10">
          <cell r="DC10">
            <v>23.000000000058208</v>
          </cell>
          <cell r="DD10">
            <v>16.958333333333332</v>
          </cell>
        </row>
        <row r="11">
          <cell r="DC11">
            <v>26.500000000116415</v>
          </cell>
          <cell r="DD11">
            <v>21.512499999999999</v>
          </cell>
        </row>
        <row r="12">
          <cell r="DC12">
            <v>29.916666666744277</v>
          </cell>
          <cell r="DD12">
            <v>24.412500000000001</v>
          </cell>
        </row>
        <row r="13">
          <cell r="DC13">
            <v>31.833333333372138</v>
          </cell>
          <cell r="DD13">
            <v>25.154166666666665</v>
          </cell>
        </row>
        <row r="14">
          <cell r="DC14">
            <v>34.5</v>
          </cell>
          <cell r="DD14">
            <v>25.954166666666669</v>
          </cell>
        </row>
        <row r="15">
          <cell r="DC15">
            <v>35.500000000116415</v>
          </cell>
          <cell r="DD15" t="e">
            <v>#DIV/0!</v>
          </cell>
        </row>
      </sheetData>
      <sheetData sheetId="7"/>
      <sheetData sheetId="8">
        <row r="3">
          <cell r="B3">
            <v>11.083333333333334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CW vs OD"/>
    </sheetNames>
    <sheetDataSet>
      <sheetData sheetId="0">
        <row r="3">
          <cell r="B3">
            <v>11.083333333333334</v>
          </cell>
          <cell r="C3">
            <v>4.5999999999999375</v>
          </cell>
          <cell r="R3">
            <v>11.083333333333334</v>
          </cell>
          <cell r="S3">
            <v>4.5999999999999375</v>
          </cell>
          <cell r="T3">
            <v>1</v>
          </cell>
          <cell r="X3">
            <v>0.42010000000000003</v>
          </cell>
          <cell r="AF3">
            <v>0</v>
          </cell>
          <cell r="AG3">
            <v>0.96083333333333332</v>
          </cell>
          <cell r="AM3">
            <v>1.06318</v>
          </cell>
        </row>
        <row r="4">
          <cell r="B4">
            <v>9.8666666666666654</v>
          </cell>
          <cell r="C4">
            <v>4.1999999999999815</v>
          </cell>
          <cell r="R4">
            <v>9.8666666666666654</v>
          </cell>
          <cell r="S4">
            <v>4.1999999999999815</v>
          </cell>
          <cell r="T4">
            <v>2</v>
          </cell>
          <cell r="X4">
            <v>0.88779999999999992</v>
          </cell>
          <cell r="AF4">
            <v>4.0000000001164153</v>
          </cell>
          <cell r="AG4">
            <v>1.3050000000000002</v>
          </cell>
          <cell r="AM4">
            <v>1.0887960000118133</v>
          </cell>
        </row>
        <row r="5">
          <cell r="B5">
            <v>10.899999999999999</v>
          </cell>
          <cell r="C5">
            <v>4.5599999999998531</v>
          </cell>
          <cell r="R5">
            <v>10.899999999999999</v>
          </cell>
          <cell r="S5">
            <v>4.5599999999998531</v>
          </cell>
          <cell r="T5">
            <v>3</v>
          </cell>
          <cell r="X5">
            <v>1.3399000000000001</v>
          </cell>
          <cell r="AF5">
            <v>9.1666666666860692</v>
          </cell>
          <cell r="AG5">
            <v>2.7116666666666664</v>
          </cell>
          <cell r="AM5">
            <v>2.595055299006725</v>
          </cell>
        </row>
        <row r="6">
          <cell r="B6">
            <v>19.633333333333333</v>
          </cell>
          <cell r="C6">
            <v>6.1199999999999477</v>
          </cell>
          <cell r="R6">
            <v>19.633333333333333</v>
          </cell>
          <cell r="S6">
            <v>6.1199999999999477</v>
          </cell>
          <cell r="T6">
            <v>4</v>
          </cell>
          <cell r="X6">
            <v>1.7764</v>
          </cell>
          <cell r="AF6">
            <v>11.916666666744277</v>
          </cell>
          <cell r="AG6">
            <v>3.9516666666666667</v>
          </cell>
          <cell r="AM6">
            <v>4.3263347947874529</v>
          </cell>
        </row>
        <row r="7">
          <cell r="B7">
            <v>18.7</v>
          </cell>
          <cell r="C7">
            <v>6.5600000000001657</v>
          </cell>
          <cell r="J7">
            <v>24.466666666666669</v>
          </cell>
          <cell r="K7">
            <v>7.867500000000005</v>
          </cell>
          <cell r="R7">
            <v>18.7</v>
          </cell>
          <cell r="S7">
            <v>6.5600000000001657</v>
          </cell>
          <cell r="T7">
            <v>5</v>
          </cell>
          <cell r="X7">
            <v>2.1972999999999998</v>
          </cell>
          <cell r="AF7">
            <v>23.000000000058208</v>
          </cell>
          <cell r="AG7">
            <v>16.958333333333332</v>
          </cell>
          <cell r="AM7">
            <v>16.898553500077071</v>
          </cell>
        </row>
        <row r="8">
          <cell r="B8">
            <v>19.366666666666667</v>
          </cell>
          <cell r="C8">
            <v>7.1600000000000108</v>
          </cell>
          <cell r="J8">
            <v>27.3</v>
          </cell>
          <cell r="K8">
            <v>7.9375000000000195</v>
          </cell>
          <cell r="R8">
            <v>19.366666666666667</v>
          </cell>
          <cell r="S8">
            <v>7.1600000000000108</v>
          </cell>
          <cell r="T8">
            <v>6</v>
          </cell>
          <cell r="X8">
            <v>2.6025999999999998</v>
          </cell>
          <cell r="AF8">
            <v>26.500000000116415</v>
          </cell>
          <cell r="AG8">
            <v>21.512499999999999</v>
          </cell>
          <cell r="AM8">
            <v>21.317492718885244</v>
          </cell>
        </row>
        <row r="9">
          <cell r="B9">
            <v>19.499999999999996</v>
          </cell>
          <cell r="C9">
            <v>6.3600000000000989</v>
          </cell>
          <cell r="J9">
            <v>28.1</v>
          </cell>
          <cell r="K9">
            <v>7.9874999999999918</v>
          </cell>
          <cell r="R9">
            <v>19.499999999999996</v>
          </cell>
          <cell r="S9">
            <v>6.3600000000000989</v>
          </cell>
          <cell r="T9">
            <v>7</v>
          </cell>
          <cell r="X9">
            <v>2.9922999999999997</v>
          </cell>
          <cell r="AF9">
            <v>29.916666666744277</v>
          </cell>
          <cell r="AG9">
            <v>24.412500000000001</v>
          </cell>
          <cell r="AM9">
            <v>24.66056364895374</v>
          </cell>
        </row>
        <row r="10">
          <cell r="B10">
            <v>21.366666666666667</v>
          </cell>
          <cell r="C10">
            <v>7.4600000000000222</v>
          </cell>
          <cell r="J10">
            <v>23.95</v>
          </cell>
          <cell r="K10">
            <v>7.6875000000000249</v>
          </cell>
          <cell r="R10">
            <v>21.366666666666667</v>
          </cell>
          <cell r="S10">
            <v>7.4600000000000222</v>
          </cell>
          <cell r="T10">
            <v>8</v>
          </cell>
          <cell r="X10">
            <v>3.3663999999999996</v>
          </cell>
          <cell r="AF10">
            <v>31.833333333372138</v>
          </cell>
          <cell r="AG10">
            <v>25.154166666666665</v>
          </cell>
          <cell r="AM10">
            <v>25.764318150863748</v>
          </cell>
        </row>
        <row r="11">
          <cell r="B11">
            <v>19.933333333333334</v>
          </cell>
          <cell r="C11">
            <v>6.1200000000001253</v>
          </cell>
          <cell r="R11">
            <v>19.933333333333334</v>
          </cell>
          <cell r="S11">
            <v>6.1200000000001253</v>
          </cell>
          <cell r="T11">
            <v>9</v>
          </cell>
          <cell r="X11">
            <v>3.7248999999999999</v>
          </cell>
          <cell r="AF11">
            <v>34.5</v>
          </cell>
          <cell r="AG11">
            <v>25.954166666666669</v>
          </cell>
          <cell r="AM11">
            <v>25.932942718749988</v>
          </cell>
        </row>
        <row r="12">
          <cell r="R12">
            <v>2.4</v>
          </cell>
          <cell r="S12">
            <v>0.84444444444445022</v>
          </cell>
          <cell r="T12">
            <v>10</v>
          </cell>
          <cell r="X12">
            <v>4.0677999999999992</v>
          </cell>
        </row>
        <row r="13">
          <cell r="R13">
            <v>20.466666666666672</v>
          </cell>
          <cell r="S13">
            <v>6.4699999999999314</v>
          </cell>
          <cell r="T13">
            <v>11</v>
          </cell>
          <cell r="X13">
            <v>4.3950999999999993</v>
          </cell>
        </row>
        <row r="14">
          <cell r="R14">
            <v>25.033333333333335</v>
          </cell>
          <cell r="S14">
            <v>6.6000000000000725</v>
          </cell>
          <cell r="T14">
            <v>12</v>
          </cell>
          <cell r="X14">
            <v>4.7068000000000003</v>
          </cell>
        </row>
        <row r="15">
          <cell r="R15">
            <v>2.4533333333333336</v>
          </cell>
          <cell r="S15">
            <v>1.0666666666667466</v>
          </cell>
          <cell r="T15">
            <v>13</v>
          </cell>
          <cell r="X15">
            <v>5.0028999999999995</v>
          </cell>
        </row>
        <row r="16">
          <cell r="R16">
            <v>21.8</v>
          </cell>
          <cell r="S16">
            <v>6.8100000000000271</v>
          </cell>
          <cell r="T16">
            <v>14</v>
          </cell>
          <cell r="X16">
            <v>5.2834000000000003</v>
          </cell>
        </row>
        <row r="17">
          <cell r="R17">
            <v>24</v>
          </cell>
          <cell r="S17">
            <v>6.9799999999999862</v>
          </cell>
          <cell r="T17">
            <v>15</v>
          </cell>
          <cell r="X17">
            <v>5.5482999999999993</v>
          </cell>
        </row>
        <row r="18">
          <cell r="R18">
            <v>2.2966666666666664</v>
          </cell>
          <cell r="S18">
            <v>1.0444444444445762</v>
          </cell>
          <cell r="T18">
            <v>16</v>
          </cell>
          <cell r="X18">
            <v>5.7975999999999992</v>
          </cell>
        </row>
        <row r="19">
          <cell r="R19">
            <v>22.200000000000003</v>
          </cell>
          <cell r="S19">
            <v>6.3399999999999679</v>
          </cell>
          <cell r="T19">
            <v>17</v>
          </cell>
          <cell r="X19">
            <v>6.031299999999999</v>
          </cell>
        </row>
        <row r="20">
          <cell r="R20">
            <v>25.950000000000003</v>
          </cell>
          <cell r="S20">
            <v>6.6399999999999793</v>
          </cell>
          <cell r="T20">
            <v>18</v>
          </cell>
          <cell r="X20">
            <v>6.2494000000000005</v>
          </cell>
        </row>
        <row r="21">
          <cell r="R21">
            <v>24.466666666666669</v>
          </cell>
          <cell r="S21">
            <v>7.867500000000005</v>
          </cell>
          <cell r="T21">
            <v>19</v>
          </cell>
          <cell r="X21">
            <v>6.4519000000000002</v>
          </cell>
        </row>
        <row r="22">
          <cell r="R22">
            <v>27.3</v>
          </cell>
          <cell r="S22">
            <v>7.9375000000000195</v>
          </cell>
          <cell r="T22">
            <v>20</v>
          </cell>
          <cell r="X22">
            <v>6.6387999999999998</v>
          </cell>
        </row>
        <row r="23">
          <cell r="R23">
            <v>28.1</v>
          </cell>
          <cell r="S23">
            <v>7.9874999999999918</v>
          </cell>
          <cell r="T23">
            <v>21</v>
          </cell>
          <cell r="X23">
            <v>6.8101000000000003</v>
          </cell>
        </row>
        <row r="24">
          <cell r="R24">
            <v>23.95</v>
          </cell>
          <cell r="S24">
            <v>7.6875000000000249</v>
          </cell>
          <cell r="T24">
            <v>22</v>
          </cell>
          <cell r="X24">
            <v>6.9657999999999998</v>
          </cell>
        </row>
        <row r="25">
          <cell r="T25">
            <v>23</v>
          </cell>
          <cell r="X25">
            <v>7.1058999999999992</v>
          </cell>
        </row>
        <row r="26">
          <cell r="T26">
            <v>24</v>
          </cell>
          <cell r="X26">
            <v>7.2304000000000004</v>
          </cell>
        </row>
        <row r="27">
          <cell r="T27">
            <v>25</v>
          </cell>
          <cell r="X27">
            <v>7.3392999999999997</v>
          </cell>
        </row>
        <row r="28">
          <cell r="T28">
            <v>26</v>
          </cell>
          <cell r="X28">
            <v>7.432599999999999</v>
          </cell>
        </row>
        <row r="29">
          <cell r="T29">
            <v>27</v>
          </cell>
          <cell r="X29">
            <v>7.5102999999999991</v>
          </cell>
        </row>
        <row r="30">
          <cell r="T30">
            <v>28</v>
          </cell>
          <cell r="X30">
            <v>7.5724</v>
          </cell>
        </row>
        <row r="31">
          <cell r="T31">
            <v>29</v>
          </cell>
          <cell r="X31">
            <v>7.6188999999999991</v>
          </cell>
        </row>
        <row r="32">
          <cell r="T32">
            <v>30</v>
          </cell>
          <cell r="X32">
            <v>7.649799999999999</v>
          </cell>
        </row>
        <row r="35">
          <cell r="D35">
            <v>2.4</v>
          </cell>
          <cell r="E35">
            <v>0.84444444444445022</v>
          </cell>
        </row>
        <row r="36">
          <cell r="D36">
            <v>20.466666666666672</v>
          </cell>
          <cell r="E36">
            <v>6.4699999999999314</v>
          </cell>
        </row>
        <row r="37">
          <cell r="D37">
            <v>25.033333333333335</v>
          </cell>
          <cell r="E37">
            <v>6.6000000000000725</v>
          </cell>
        </row>
        <row r="38">
          <cell r="D38">
            <v>2.4533333333333336</v>
          </cell>
          <cell r="E38">
            <v>1.0666666666667466</v>
          </cell>
        </row>
        <row r="39">
          <cell r="D39">
            <v>21.8</v>
          </cell>
          <cell r="E39">
            <v>6.8100000000000271</v>
          </cell>
        </row>
        <row r="40">
          <cell r="D40">
            <v>24</v>
          </cell>
          <cell r="E40">
            <v>6.9799999999999862</v>
          </cell>
        </row>
        <row r="41">
          <cell r="D41">
            <v>2.2966666666666664</v>
          </cell>
          <cell r="E41">
            <v>1.0444444444445762</v>
          </cell>
        </row>
        <row r="42">
          <cell r="D42">
            <v>22.200000000000003</v>
          </cell>
          <cell r="E42">
            <v>6.3399999999999679</v>
          </cell>
        </row>
        <row r="43">
          <cell r="D43">
            <v>25.950000000000003</v>
          </cell>
          <cell r="E43">
            <v>6.6399999999999793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46A-0157-4916-8A93-058477CA23B6}">
  <dimension ref="B1:AG51"/>
  <sheetViews>
    <sheetView topLeftCell="A12" zoomScale="70" zoomScaleNormal="70" workbookViewId="0">
      <selection activeCell="L58" sqref="L58"/>
    </sheetView>
  </sheetViews>
  <sheetFormatPr baseColWidth="10" defaultColWidth="8.83203125" defaultRowHeight="15" x14ac:dyDescent="0.2"/>
  <sheetData>
    <row r="1" spans="2:33" x14ac:dyDescent="0.2">
      <c r="B1" t="s">
        <v>0</v>
      </c>
      <c r="R1" t="s">
        <v>1</v>
      </c>
      <c r="V1" s="1" t="s">
        <v>2</v>
      </c>
      <c r="W1" s="1" t="s">
        <v>2</v>
      </c>
      <c r="AB1">
        <v>4</v>
      </c>
      <c r="AC1">
        <v>3</v>
      </c>
      <c r="AD1">
        <v>2</v>
      </c>
      <c r="AE1">
        <v>1</v>
      </c>
      <c r="AF1">
        <v>0</v>
      </c>
    </row>
    <row r="2" spans="2:33" x14ac:dyDescent="0.2">
      <c r="B2" t="s">
        <v>3</v>
      </c>
      <c r="C2" t="s">
        <v>4</v>
      </c>
      <c r="I2" t="s">
        <v>5</v>
      </c>
      <c r="R2" t="s">
        <v>3</v>
      </c>
      <c r="S2" t="s">
        <v>4</v>
      </c>
      <c r="U2" t="s">
        <v>6</v>
      </c>
      <c r="V2" t="s">
        <v>7</v>
      </c>
      <c r="W2" t="s">
        <v>8</v>
      </c>
      <c r="Z2" t="s">
        <v>9</v>
      </c>
      <c r="AA2" t="s">
        <v>10</v>
      </c>
      <c r="AB2">
        <f>-5.65*10^-5</f>
        <v>-5.6500000000000011E-5</v>
      </c>
      <c r="AC2">
        <v>2.3900000000000002E-3</v>
      </c>
      <c r="AD2">
        <v>7.3600000000000002E-3</v>
      </c>
      <c r="AE2">
        <v>-5.7660000000000003E-2</v>
      </c>
      <c r="AF2">
        <v>1.06318</v>
      </c>
      <c r="AG2" t="s">
        <v>11</v>
      </c>
    </row>
    <row r="3" spans="2:33" x14ac:dyDescent="0.2">
      <c r="B3">
        <v>11.083333333333334</v>
      </c>
      <c r="C3">
        <v>4.5999999999999375</v>
      </c>
      <c r="D3">
        <f t="array" ref="D3:E6">LINEST(C3:C11,B3:B11,TRUE,TRUE)</f>
        <v>0.24054898965710531</v>
      </c>
      <c r="E3">
        <v>1.8859399338949281</v>
      </c>
      <c r="I3">
        <v>7.867500000000005</v>
      </c>
      <c r="J3">
        <v>7.9375000000000195</v>
      </c>
      <c r="K3">
        <v>7.9874999999999918</v>
      </c>
      <c r="L3">
        <v>7.6875000000000249</v>
      </c>
      <c r="M3" t="s">
        <v>4</v>
      </c>
      <c r="N3" t="s">
        <v>12</v>
      </c>
      <c r="R3">
        <v>11.083333333333334</v>
      </c>
      <c r="S3">
        <v>4.5999999999999375</v>
      </c>
      <c r="T3">
        <v>1</v>
      </c>
      <c r="U3">
        <f>3.7602*LN(T3)-4.48</f>
        <v>-4.4800000000000004</v>
      </c>
      <c r="V3" s="1">
        <f>T3*0.2193+2.2225</f>
        <v>2.4418000000000002</v>
      </c>
      <c r="W3">
        <f>T3*0.324</f>
        <v>0.32400000000000001</v>
      </c>
      <c r="Z3">
        <f>'[1]Data analysis (Sample Loss)'!DC6</f>
        <v>0</v>
      </c>
      <c r="AA3">
        <f>'[1]Data analysis (Sample Loss)'!DD6</f>
        <v>0.96083333333333332</v>
      </c>
      <c r="AB3">
        <f>Z3^4*$AB$2</f>
        <v>0</v>
      </c>
      <c r="AC3">
        <f>Z3^3*$AC$2</f>
        <v>0</v>
      </c>
      <c r="AD3">
        <f>Z3^2*$AD$2</f>
        <v>0</v>
      </c>
      <c r="AE3">
        <f>Z3^1*$AE$2</f>
        <v>0</v>
      </c>
      <c r="AF3">
        <f>AF2</f>
        <v>1.06318</v>
      </c>
      <c r="AG3">
        <f>SUM(AB3:AF3)</f>
        <v>1.06318</v>
      </c>
    </row>
    <row r="4" spans="2:33" x14ac:dyDescent="0.2">
      <c r="B4">
        <v>9.8666666666666654</v>
      </c>
      <c r="C4">
        <v>4.1999999999999815</v>
      </c>
      <c r="D4">
        <v>3.1695362383605721E-2</v>
      </c>
      <c r="E4">
        <v>0.54728438985276817</v>
      </c>
      <c r="I4">
        <v>24.466666666666669</v>
      </c>
      <c r="J4">
        <v>27.3</v>
      </c>
      <c r="K4">
        <v>28.1</v>
      </c>
      <c r="L4">
        <v>23.95</v>
      </c>
      <c r="M4" t="s">
        <v>13</v>
      </c>
      <c r="N4" t="s">
        <v>14</v>
      </c>
      <c r="R4">
        <v>9.8666666666666654</v>
      </c>
      <c r="S4">
        <v>4.1999999999999815</v>
      </c>
      <c r="T4">
        <v>2</v>
      </c>
      <c r="U4">
        <f t="shared" ref="U4:U32" si="0">3.7602*LN(T4)-4.48</f>
        <v>-1.873627971658494</v>
      </c>
      <c r="V4" s="1">
        <f t="shared" ref="V4:V32" si="1">T4*0.2193+2.2225</f>
        <v>2.6611000000000002</v>
      </c>
      <c r="W4">
        <f t="shared" ref="W4:W32" si="2">T4*0.324</f>
        <v>0.64800000000000002</v>
      </c>
      <c r="Z4">
        <f>'[1]Data analysis (Sample Loss)'!DC7</f>
        <v>4.0000000001164153</v>
      </c>
      <c r="AA4">
        <f>'[1]Data analysis (Sample Loss)'!DD7</f>
        <v>1.3050000000000002</v>
      </c>
      <c r="AB4">
        <f t="shared" ref="AB4:AB12" si="3">Z4^4*$AB$2</f>
        <v>-1.4464000001683835E-2</v>
      </c>
      <c r="AC4">
        <f t="shared" ref="AC4:AC12" si="4">Z4^3*$AC$2</f>
        <v>0.15296000001335519</v>
      </c>
      <c r="AD4">
        <f t="shared" ref="AD4:AD12" si="5">Z4^2*$AD$2</f>
        <v>0.11776000000685453</v>
      </c>
      <c r="AE4">
        <f t="shared" ref="AE4:AE12" si="6">Z4^1*$AE$2</f>
        <v>-0.23064000000671253</v>
      </c>
      <c r="AF4">
        <f t="shared" ref="AF4:AF12" si="7">AF3</f>
        <v>1.06318</v>
      </c>
      <c r="AG4">
        <f t="shared" ref="AG4:AG12" si="8">SUM(AB4:AF4)</f>
        <v>1.0887960000118133</v>
      </c>
    </row>
    <row r="5" spans="2:33" x14ac:dyDescent="0.2">
      <c r="B5">
        <v>10.899999999999999</v>
      </c>
      <c r="C5">
        <v>4.5599999999998531</v>
      </c>
      <c r="D5">
        <v>0.89163934243677512</v>
      </c>
      <c r="E5">
        <v>0.41528048175103283</v>
      </c>
      <c r="R5">
        <v>10.899999999999999</v>
      </c>
      <c r="S5">
        <v>4.5599999999998531</v>
      </c>
      <c r="T5">
        <v>3</v>
      </c>
      <c r="U5">
        <f t="shared" si="0"/>
        <v>-0.34899807215017375</v>
      </c>
      <c r="V5" s="1">
        <f t="shared" si="1"/>
        <v>2.8803999999999998</v>
      </c>
      <c r="W5">
        <f t="shared" si="2"/>
        <v>0.97199999999999998</v>
      </c>
      <c r="Z5">
        <f>'[1]Data analysis (Sample Loss)'!DC8</f>
        <v>9.1666666666860692</v>
      </c>
      <c r="AA5">
        <f>'[1]Data analysis (Sample Loss)'!DD8</f>
        <v>2.7116666666666664</v>
      </c>
      <c r="AB5">
        <f t="shared" si="3"/>
        <v>-0.39892771026572338</v>
      </c>
      <c r="AC5">
        <f t="shared" si="4"/>
        <v>1.8409085648265047</v>
      </c>
      <c r="AD5">
        <f t="shared" si="5"/>
        <v>0.61844444444706259</v>
      </c>
      <c r="AE5">
        <f t="shared" si="6"/>
        <v>-0.52855000000111874</v>
      </c>
      <c r="AF5">
        <f t="shared" si="7"/>
        <v>1.06318</v>
      </c>
      <c r="AG5">
        <f t="shared" si="8"/>
        <v>2.595055299006725</v>
      </c>
    </row>
    <row r="6" spans="2:33" x14ac:dyDescent="0.2">
      <c r="B6">
        <v>19.633333333333333</v>
      </c>
      <c r="C6">
        <v>6.1199999999999477</v>
      </c>
      <c r="D6">
        <v>57.59909119613576</v>
      </c>
      <c r="E6">
        <v>7</v>
      </c>
      <c r="J6" t="s">
        <v>3</v>
      </c>
      <c r="K6" t="s">
        <v>4</v>
      </c>
      <c r="R6">
        <v>19.633333333333333</v>
      </c>
      <c r="S6">
        <v>6.1199999999999477</v>
      </c>
      <c r="T6">
        <v>4</v>
      </c>
      <c r="U6">
        <f>3.7602*LN(T6)-4.48</f>
        <v>0.73274405668301235</v>
      </c>
      <c r="V6" s="1">
        <f t="shared" si="1"/>
        <v>3.0997000000000003</v>
      </c>
      <c r="W6">
        <f t="shared" si="2"/>
        <v>1.296</v>
      </c>
      <c r="Z6">
        <f>'[1]Data analysis (Sample Loss)'!DC9</f>
        <v>11.916666666744277</v>
      </c>
      <c r="AA6">
        <f>'[1]Data analysis (Sample Loss)'!DD9</f>
        <v>3.9516666666666667</v>
      </c>
      <c r="AB6">
        <f t="shared" si="3"/>
        <v>-1.1393774333099673</v>
      </c>
      <c r="AC6">
        <f t="shared" si="4"/>
        <v>4.0444761169771697</v>
      </c>
      <c r="AD6">
        <f t="shared" si="5"/>
        <v>1.0451711111247248</v>
      </c>
      <c r="AE6">
        <f t="shared" si="6"/>
        <v>-0.68711500000447501</v>
      </c>
      <c r="AF6">
        <f t="shared" si="7"/>
        <v>1.06318</v>
      </c>
      <c r="AG6">
        <f t="shared" si="8"/>
        <v>4.3263347947874529</v>
      </c>
    </row>
    <row r="7" spans="2:33" x14ac:dyDescent="0.2">
      <c r="B7">
        <v>18.7</v>
      </c>
      <c r="C7">
        <v>6.5600000000001657</v>
      </c>
      <c r="J7">
        <v>24.466666666666669</v>
      </c>
      <c r="K7">
        <v>7.867500000000005</v>
      </c>
      <c r="R7">
        <v>18.7</v>
      </c>
      <c r="S7">
        <v>6.5600000000001657</v>
      </c>
      <c r="T7">
        <v>5</v>
      </c>
      <c r="U7">
        <f t="shared" si="0"/>
        <v>1.5718084383347035</v>
      </c>
      <c r="V7" s="1">
        <f t="shared" si="1"/>
        <v>3.319</v>
      </c>
      <c r="W7">
        <f t="shared" si="2"/>
        <v>1.62</v>
      </c>
      <c r="Z7">
        <f>'[1]Data analysis (Sample Loss)'!DC10</f>
        <v>23.000000000058208</v>
      </c>
      <c r="AA7">
        <f>'[1]Data analysis (Sample Loss)'!DD10</f>
        <v>16.958333333333332</v>
      </c>
      <c r="AB7">
        <f t="shared" si="3"/>
        <v>-15.81101650016006</v>
      </c>
      <c r="AC7">
        <f t="shared" si="4"/>
        <v>29.079130000220779</v>
      </c>
      <c r="AD7">
        <f t="shared" si="5"/>
        <v>3.8934400000197069</v>
      </c>
      <c r="AE7">
        <f t="shared" si="6"/>
        <v>-1.3261800000033563</v>
      </c>
      <c r="AF7">
        <f t="shared" si="7"/>
        <v>1.06318</v>
      </c>
      <c r="AG7">
        <f t="shared" si="8"/>
        <v>16.898553500077071</v>
      </c>
    </row>
    <row r="8" spans="2:33" x14ac:dyDescent="0.2">
      <c r="B8">
        <v>19.366666666666667</v>
      </c>
      <c r="C8">
        <v>7.1600000000000108</v>
      </c>
      <c r="J8">
        <v>27.3</v>
      </c>
      <c r="K8">
        <v>7.9375000000000195</v>
      </c>
      <c r="R8">
        <v>19.366666666666667</v>
      </c>
      <c r="S8">
        <v>7.1600000000000108</v>
      </c>
      <c r="T8">
        <v>6</v>
      </c>
      <c r="U8">
        <f t="shared" si="0"/>
        <v>2.2573739561913326</v>
      </c>
      <c r="V8" s="1">
        <f t="shared" si="1"/>
        <v>3.5383</v>
      </c>
      <c r="W8">
        <f t="shared" si="2"/>
        <v>1.944</v>
      </c>
      <c r="Z8">
        <f>'[1]Data analysis (Sample Loss)'!DC11</f>
        <v>26.500000000116415</v>
      </c>
      <c r="AA8">
        <f>'[1]Data analysis (Sample Loss)'!DD11</f>
        <v>21.512499999999999</v>
      </c>
      <c r="AB8">
        <f t="shared" si="3"/>
        <v>-27.863261031739622</v>
      </c>
      <c r="AC8">
        <f t="shared" si="4"/>
        <v>44.477003750586171</v>
      </c>
      <c r="AD8">
        <f t="shared" si="5"/>
        <v>5.1685600000454111</v>
      </c>
      <c r="AE8">
        <f t="shared" si="6"/>
        <v>-1.5279900000067126</v>
      </c>
      <c r="AF8">
        <f t="shared" si="7"/>
        <v>1.06318</v>
      </c>
      <c r="AG8">
        <f t="shared" si="8"/>
        <v>21.317492718885244</v>
      </c>
    </row>
    <row r="9" spans="2:33" x14ac:dyDescent="0.2">
      <c r="B9">
        <v>19.499999999999996</v>
      </c>
      <c r="C9">
        <v>6.3600000000000989</v>
      </c>
      <c r="J9">
        <v>28.1</v>
      </c>
      <c r="K9">
        <v>7.9874999999999918</v>
      </c>
      <c r="R9">
        <v>19.499999999999996</v>
      </c>
      <c r="S9">
        <v>6.3600000000000989</v>
      </c>
      <c r="T9">
        <v>7</v>
      </c>
      <c r="U9">
        <f t="shared" si="0"/>
        <v>2.8370113424777887</v>
      </c>
      <c r="V9" s="1">
        <f t="shared" si="1"/>
        <v>3.7576000000000001</v>
      </c>
      <c r="W9">
        <f t="shared" si="2"/>
        <v>2.2680000000000002</v>
      </c>
      <c r="Z9">
        <f>'[1]Data analysis (Sample Loss)'!DC12</f>
        <v>29.916666666744277</v>
      </c>
      <c r="AA9">
        <f>'[1]Data analysis (Sample Loss)'!DD12</f>
        <v>24.412500000000001</v>
      </c>
      <c r="AB9">
        <f t="shared" si="3"/>
        <v>-45.258614829583266</v>
      </c>
      <c r="AC9">
        <f t="shared" si="4"/>
        <v>63.993742367396194</v>
      </c>
      <c r="AD9">
        <f t="shared" si="5"/>
        <v>6.5872511111452887</v>
      </c>
      <c r="AE9">
        <f t="shared" si="6"/>
        <v>-1.7249950000044751</v>
      </c>
      <c r="AF9">
        <f t="shared" si="7"/>
        <v>1.06318</v>
      </c>
      <c r="AG9">
        <f t="shared" si="8"/>
        <v>24.66056364895374</v>
      </c>
    </row>
    <row r="10" spans="2:33" x14ac:dyDescent="0.2">
      <c r="B10">
        <v>21.366666666666667</v>
      </c>
      <c r="C10">
        <v>7.4600000000000222</v>
      </c>
      <c r="J10">
        <v>23.95</v>
      </c>
      <c r="K10">
        <v>7.6875000000000249</v>
      </c>
      <c r="R10">
        <v>21.366666666666667</v>
      </c>
      <c r="S10">
        <v>7.4600000000000222</v>
      </c>
      <c r="T10">
        <v>8</v>
      </c>
      <c r="U10">
        <f t="shared" si="0"/>
        <v>3.3391160850245187</v>
      </c>
      <c r="V10" s="1">
        <f t="shared" si="1"/>
        <v>3.9769000000000001</v>
      </c>
      <c r="W10">
        <f t="shared" si="2"/>
        <v>2.5920000000000001</v>
      </c>
      <c r="Z10">
        <f>'[1]Data analysis (Sample Loss)'!DC13</f>
        <v>31.833333333372138</v>
      </c>
      <c r="AA10">
        <f>'[1]Data analysis (Sample Loss)'!DD13</f>
        <v>25.154166666666665</v>
      </c>
      <c r="AB10">
        <f t="shared" si="3"/>
        <v>-58.019891895730453</v>
      </c>
      <c r="AC10">
        <f t="shared" si="4"/>
        <v>77.098202268800478</v>
      </c>
      <c r="AD10">
        <f t="shared" si="5"/>
        <v>7.4583377777959621</v>
      </c>
      <c r="AE10">
        <f t="shared" si="6"/>
        <v>-1.8355100000022375</v>
      </c>
      <c r="AF10">
        <f t="shared" si="7"/>
        <v>1.06318</v>
      </c>
      <c r="AG10">
        <f t="shared" si="8"/>
        <v>25.764318150863748</v>
      </c>
    </row>
    <row r="11" spans="2:33" x14ac:dyDescent="0.2">
      <c r="B11">
        <v>19.933333333333334</v>
      </c>
      <c r="C11">
        <v>6.1200000000001253</v>
      </c>
      <c r="R11">
        <v>19.933333333333334</v>
      </c>
      <c r="S11">
        <v>6.1200000000001253</v>
      </c>
      <c r="T11">
        <v>9</v>
      </c>
      <c r="U11">
        <f t="shared" si="0"/>
        <v>3.7820038556996529</v>
      </c>
      <c r="V11" s="1">
        <f t="shared" si="1"/>
        <v>4.1962000000000002</v>
      </c>
      <c r="W11">
        <f t="shared" si="2"/>
        <v>2.9159999999999999</v>
      </c>
      <c r="Z11">
        <f>'[1]Data analysis (Sample Loss)'!DC14</f>
        <v>34.5</v>
      </c>
      <c r="AA11">
        <f>'[1]Data analysis (Sample Loss)'!DD14</f>
        <v>25.954166666666669</v>
      </c>
      <c r="AB11">
        <f t="shared" si="3"/>
        <v>-80.043271031250015</v>
      </c>
      <c r="AC11">
        <f t="shared" si="4"/>
        <v>98.142063750000005</v>
      </c>
      <c r="AD11">
        <f t="shared" si="5"/>
        <v>8.7602399999999996</v>
      </c>
      <c r="AE11">
        <f t="shared" si="6"/>
        <v>-1.9892700000000001</v>
      </c>
      <c r="AF11">
        <f t="shared" si="7"/>
        <v>1.06318</v>
      </c>
      <c r="AG11">
        <f t="shared" si="8"/>
        <v>25.932942718749988</v>
      </c>
    </row>
    <row r="12" spans="2:33" x14ac:dyDescent="0.2">
      <c r="R12">
        <v>24.466666666666669</v>
      </c>
      <c r="S12">
        <v>7.867500000000005</v>
      </c>
      <c r="T12">
        <v>10</v>
      </c>
      <c r="U12">
        <f t="shared" si="0"/>
        <v>4.1781804666762117</v>
      </c>
      <c r="V12" s="1">
        <f t="shared" si="1"/>
        <v>4.4154999999999998</v>
      </c>
      <c r="W12">
        <f t="shared" si="2"/>
        <v>3.24</v>
      </c>
      <c r="Z12">
        <v>35.5</v>
      </c>
      <c r="AB12">
        <f t="shared" si="3"/>
        <v>-89.734998531250014</v>
      </c>
      <c r="AC12">
        <f t="shared" si="4"/>
        <v>106.92591125000001</v>
      </c>
      <c r="AD12">
        <f t="shared" si="5"/>
        <v>9.2754399999999997</v>
      </c>
      <c r="AE12">
        <f t="shared" si="6"/>
        <v>-2.0469300000000001</v>
      </c>
      <c r="AF12">
        <f t="shared" si="7"/>
        <v>1.06318</v>
      </c>
      <c r="AG12">
        <f t="shared" si="8"/>
        <v>25.482602718749998</v>
      </c>
    </row>
    <row r="13" spans="2:33" x14ac:dyDescent="0.2">
      <c r="R13">
        <v>27.3</v>
      </c>
      <c r="S13">
        <v>7.9375000000000195</v>
      </c>
      <c r="T13">
        <v>11</v>
      </c>
      <c r="U13">
        <f t="shared" si="0"/>
        <v>4.5365658047764335</v>
      </c>
      <c r="V13" s="1">
        <f t="shared" si="1"/>
        <v>4.6348000000000003</v>
      </c>
      <c r="W13">
        <f t="shared" si="2"/>
        <v>3.5640000000000001</v>
      </c>
      <c r="Z13" s="1">
        <f>'[1]Data analysis (Sample Loss)'!DC15</f>
        <v>35.500000000116415</v>
      </c>
      <c r="AA13" s="1" t="e">
        <f>'[1]Data analysis (Sample Loss)'!DD15</f>
        <v>#DIV/0!</v>
      </c>
    </row>
    <row r="14" spans="2:33" x14ac:dyDescent="0.2">
      <c r="R14">
        <v>28.1</v>
      </c>
      <c r="S14">
        <v>7.9874999999999918</v>
      </c>
      <c r="T14">
        <v>12</v>
      </c>
      <c r="U14">
        <f t="shared" si="0"/>
        <v>4.863745984532839</v>
      </c>
      <c r="V14" s="1">
        <f t="shared" si="1"/>
        <v>4.8540999999999999</v>
      </c>
      <c r="W14">
        <f t="shared" si="2"/>
        <v>3.8879999999999999</v>
      </c>
    </row>
    <row r="15" spans="2:33" x14ac:dyDescent="0.2">
      <c r="R15">
        <v>23.95</v>
      </c>
      <c r="S15">
        <v>7.6875000000000249</v>
      </c>
      <c r="T15">
        <v>13</v>
      </c>
      <c r="U15">
        <f>3.7602*LN(T15)-4.48</f>
        <v>5.1647225739268698</v>
      </c>
      <c r="V15">
        <f t="shared" si="1"/>
        <v>5.0733999999999995</v>
      </c>
      <c r="W15">
        <f t="shared" si="2"/>
        <v>4.2119999999999997</v>
      </c>
    </row>
    <row r="16" spans="2:33" x14ac:dyDescent="0.2">
      <c r="T16">
        <v>14</v>
      </c>
      <c r="U16">
        <f t="shared" si="0"/>
        <v>5.4433833708192942</v>
      </c>
      <c r="V16">
        <f t="shared" si="1"/>
        <v>5.2927</v>
      </c>
      <c r="W16">
        <f t="shared" si="2"/>
        <v>4.5360000000000005</v>
      </c>
    </row>
    <row r="17" spans="20:23" x14ac:dyDescent="0.2">
      <c r="T17">
        <v>15</v>
      </c>
      <c r="U17">
        <f t="shared" si="0"/>
        <v>5.7028103661845311</v>
      </c>
      <c r="V17">
        <f t="shared" si="1"/>
        <v>5.5120000000000005</v>
      </c>
      <c r="W17">
        <f t="shared" si="2"/>
        <v>4.8600000000000003</v>
      </c>
    </row>
    <row r="18" spans="20:23" x14ac:dyDescent="0.2">
      <c r="T18">
        <v>16</v>
      </c>
      <c r="U18">
        <f t="shared" si="0"/>
        <v>5.9454881133660251</v>
      </c>
      <c r="V18">
        <f t="shared" si="1"/>
        <v>5.7313000000000001</v>
      </c>
      <c r="W18">
        <f t="shared" si="2"/>
        <v>5.1840000000000002</v>
      </c>
    </row>
    <row r="19" spans="20:23" x14ac:dyDescent="0.2">
      <c r="T19">
        <v>17</v>
      </c>
      <c r="U19">
        <f t="shared" si="0"/>
        <v>6.1734488163201835</v>
      </c>
      <c r="V19">
        <f t="shared" si="1"/>
        <v>5.9505999999999997</v>
      </c>
      <c r="W19">
        <f t="shared" si="2"/>
        <v>5.508</v>
      </c>
    </row>
    <row r="20" spans="20:23" x14ac:dyDescent="0.2">
      <c r="T20">
        <v>18</v>
      </c>
      <c r="U20">
        <f t="shared" si="0"/>
        <v>6.3883758840411584</v>
      </c>
      <c r="V20">
        <f t="shared" si="1"/>
        <v>6.1699000000000002</v>
      </c>
      <c r="W20">
        <f t="shared" si="2"/>
        <v>5.8319999999999999</v>
      </c>
    </row>
    <row r="21" spans="20:23" x14ac:dyDescent="0.2">
      <c r="T21">
        <v>19</v>
      </c>
      <c r="U21">
        <f t="shared" si="0"/>
        <v>6.5916794494616493</v>
      </c>
      <c r="V21">
        <f t="shared" si="1"/>
        <v>6.3891999999999998</v>
      </c>
      <c r="W21">
        <f t="shared" si="2"/>
        <v>6.1560000000000006</v>
      </c>
    </row>
    <row r="22" spans="20:23" x14ac:dyDescent="0.2">
      <c r="T22">
        <v>20</v>
      </c>
      <c r="U22">
        <f t="shared" si="0"/>
        <v>6.7845524950177172</v>
      </c>
      <c r="V22">
        <f t="shared" si="1"/>
        <v>6.6085000000000003</v>
      </c>
      <c r="W22">
        <f t="shared" si="2"/>
        <v>6.48</v>
      </c>
    </row>
    <row r="23" spans="20:23" x14ac:dyDescent="0.2">
      <c r="T23">
        <v>21</v>
      </c>
      <c r="U23">
        <f t="shared" si="0"/>
        <v>6.9680132703276154</v>
      </c>
      <c r="V23">
        <f t="shared" si="1"/>
        <v>6.8277999999999999</v>
      </c>
      <c r="W23">
        <f t="shared" si="2"/>
        <v>6.8040000000000003</v>
      </c>
    </row>
    <row r="24" spans="20:23" x14ac:dyDescent="0.2">
      <c r="T24">
        <v>22</v>
      </c>
      <c r="U24">
        <f t="shared" si="0"/>
        <v>7.1429378331179407</v>
      </c>
      <c r="V24">
        <f t="shared" si="1"/>
        <v>7.0471000000000004</v>
      </c>
      <c r="W24">
        <f t="shared" si="2"/>
        <v>7.1280000000000001</v>
      </c>
    </row>
    <row r="25" spans="20:23" x14ac:dyDescent="0.2">
      <c r="T25">
        <v>23</v>
      </c>
      <c r="U25">
        <f t="shared" si="0"/>
        <v>7.310085350736788</v>
      </c>
      <c r="V25">
        <f t="shared" si="1"/>
        <v>7.2664</v>
      </c>
      <c r="W25">
        <f t="shared" si="2"/>
        <v>7.452</v>
      </c>
    </row>
    <row r="26" spans="20:23" x14ac:dyDescent="0.2">
      <c r="T26">
        <v>24</v>
      </c>
      <c r="U26">
        <f t="shared" si="0"/>
        <v>7.4701180128743463</v>
      </c>
      <c r="V26">
        <f t="shared" si="1"/>
        <v>7.4856999999999996</v>
      </c>
      <c r="W26">
        <f t="shared" si="2"/>
        <v>7.7759999999999998</v>
      </c>
    </row>
    <row r="27" spans="20:23" x14ac:dyDescent="0.2">
      <c r="T27">
        <v>25</v>
      </c>
      <c r="U27">
        <f t="shared" si="0"/>
        <v>7.6236168766694075</v>
      </c>
      <c r="V27">
        <f t="shared" si="1"/>
        <v>7.7050000000000001</v>
      </c>
      <c r="W27">
        <f t="shared" si="2"/>
        <v>8.1</v>
      </c>
    </row>
    <row r="28" spans="20:23" x14ac:dyDescent="0.2">
      <c r="T28">
        <v>26</v>
      </c>
      <c r="U28">
        <f t="shared" si="0"/>
        <v>7.7710946022683771</v>
      </c>
      <c r="V28">
        <f t="shared" si="1"/>
        <v>7.9242999999999997</v>
      </c>
      <c r="W28" s="1">
        <f t="shared" si="2"/>
        <v>8.4239999999999995</v>
      </c>
    </row>
    <row r="29" spans="20:23" x14ac:dyDescent="0.2">
      <c r="T29">
        <v>27</v>
      </c>
      <c r="U29">
        <f t="shared" si="0"/>
        <v>7.9130057835494778</v>
      </c>
      <c r="V29">
        <f t="shared" si="1"/>
        <v>8.1435999999999993</v>
      </c>
      <c r="W29" s="1">
        <f t="shared" si="2"/>
        <v>8.7480000000000011</v>
      </c>
    </row>
    <row r="30" spans="20:23" x14ac:dyDescent="0.2">
      <c r="T30">
        <v>28</v>
      </c>
      <c r="U30">
        <f t="shared" si="0"/>
        <v>8.0497553991608015</v>
      </c>
      <c r="V30">
        <f t="shared" si="1"/>
        <v>8.3628999999999998</v>
      </c>
      <c r="W30" s="1">
        <f t="shared" si="2"/>
        <v>9.072000000000001</v>
      </c>
    </row>
    <row r="31" spans="20:23" x14ac:dyDescent="0.2">
      <c r="T31">
        <v>29</v>
      </c>
      <c r="U31">
        <f t="shared" si="0"/>
        <v>8.1817057799151396</v>
      </c>
      <c r="V31">
        <f t="shared" si="1"/>
        <v>8.5822000000000003</v>
      </c>
      <c r="W31" s="1">
        <f t="shared" si="2"/>
        <v>9.3960000000000008</v>
      </c>
    </row>
    <row r="32" spans="20:23" x14ac:dyDescent="0.2">
      <c r="T32">
        <v>30</v>
      </c>
      <c r="U32">
        <f t="shared" si="0"/>
        <v>8.3091823945260366</v>
      </c>
      <c r="V32">
        <f t="shared" si="1"/>
        <v>8.8015000000000008</v>
      </c>
      <c r="W32" s="1">
        <f t="shared" si="2"/>
        <v>9.7200000000000006</v>
      </c>
    </row>
    <row r="50" spans="26:27" x14ac:dyDescent="0.2">
      <c r="Z50" s="2" t="s">
        <v>15</v>
      </c>
      <c r="AA50" s="2" t="s">
        <v>16</v>
      </c>
    </row>
    <row r="51" spans="26:27" x14ac:dyDescent="0.2">
      <c r="Z51">
        <v>0.21929999999999999</v>
      </c>
      <c r="AA51">
        <v>2.2225000000000001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3548-2EA8-DC4B-A3E2-07A4C095A691}">
  <dimension ref="B1:AM50"/>
  <sheetViews>
    <sheetView zoomScale="70" zoomScaleNormal="70" workbookViewId="0">
      <selection activeCell="H61" sqref="H61"/>
    </sheetView>
  </sheetViews>
  <sheetFormatPr baseColWidth="10" defaultColWidth="8.83203125" defaultRowHeight="15" x14ac:dyDescent="0.2"/>
  <sheetData>
    <row r="1" spans="2:39" x14ac:dyDescent="0.2">
      <c r="B1" t="s">
        <v>0</v>
      </c>
      <c r="R1" t="s">
        <v>1</v>
      </c>
      <c r="AH1">
        <v>4</v>
      </c>
      <c r="AI1">
        <v>3</v>
      </c>
      <c r="AJ1">
        <v>2</v>
      </c>
      <c r="AK1">
        <v>1</v>
      </c>
      <c r="AL1">
        <v>0</v>
      </c>
    </row>
    <row r="2" spans="2:39" x14ac:dyDescent="0.2">
      <c r="B2" t="s">
        <v>3</v>
      </c>
      <c r="C2" t="s">
        <v>4</v>
      </c>
      <c r="I2" t="s">
        <v>5</v>
      </c>
      <c r="R2" t="s">
        <v>3</v>
      </c>
      <c r="S2" t="s">
        <v>4</v>
      </c>
      <c r="U2" t="s">
        <v>33</v>
      </c>
      <c r="V2" t="s">
        <v>34</v>
      </c>
      <c r="W2" t="s">
        <v>35</v>
      </c>
      <c r="X2" t="s">
        <v>36</v>
      </c>
      <c r="AF2" t="s">
        <v>9</v>
      </c>
      <c r="AG2" t="s">
        <v>10</v>
      </c>
      <c r="AH2">
        <f>-5.65*10^-5</f>
        <v>-5.6500000000000011E-5</v>
      </c>
      <c r="AI2">
        <v>2.3900000000000002E-3</v>
      </c>
      <c r="AJ2">
        <v>7.3600000000000002E-3</v>
      </c>
      <c r="AK2">
        <v>-5.7660000000000003E-2</v>
      </c>
      <c r="AL2">
        <v>1.06318</v>
      </c>
      <c r="AM2" t="s">
        <v>11</v>
      </c>
    </row>
    <row r="3" spans="2:39" x14ac:dyDescent="0.2">
      <c r="B3">
        <v>11.083333333333334</v>
      </c>
      <c r="C3">
        <v>4.5999999999999375</v>
      </c>
      <c r="D3">
        <f t="array" ref="D3:E6">LINEST(C3:C11,B3:B11,TRUE,TRUE)</f>
        <v>0.24054898965710531</v>
      </c>
      <c r="E3">
        <v>1.8859399338949281</v>
      </c>
      <c r="I3">
        <v>7.867500000000005</v>
      </c>
      <c r="J3">
        <v>7.9375000000000195</v>
      </c>
      <c r="K3">
        <v>7.9874999999999918</v>
      </c>
      <c r="L3">
        <v>7.6875000000000249</v>
      </c>
      <c r="M3" t="s">
        <v>4</v>
      </c>
      <c r="N3" t="s">
        <v>12</v>
      </c>
      <c r="R3">
        <v>11.083333333333334</v>
      </c>
      <c r="S3">
        <v>4.5999999999999375</v>
      </c>
      <c r="T3">
        <v>1</v>
      </c>
      <c r="U3">
        <f>-0.0078*T3^2</f>
        <v>-7.7999999999999996E-3</v>
      </c>
      <c r="V3">
        <f>T3*0.4911</f>
        <v>0.49109999999999998</v>
      </c>
      <c r="W3">
        <v>-6.3200000000000006E-2</v>
      </c>
      <c r="X3">
        <f>SUM(U3:W3)</f>
        <v>0.42010000000000003</v>
      </c>
      <c r="AF3">
        <f>'[1]Data analysis (Sample Loss)'!DC6</f>
        <v>0</v>
      </c>
      <c r="AG3">
        <f>'[1]Data analysis (Sample Loss)'!DD6</f>
        <v>0.96083333333333332</v>
      </c>
      <c r="AH3">
        <f t="shared" ref="AH3:AH12" si="0">AF3^4*$AH$2</f>
        <v>0</v>
      </c>
      <c r="AI3">
        <f t="shared" ref="AI3:AI12" si="1">AF3^3*$AI$2</f>
        <v>0</v>
      </c>
      <c r="AJ3">
        <f t="shared" ref="AJ3:AJ12" si="2">AF3^2*$AJ$2</f>
        <v>0</v>
      </c>
      <c r="AK3">
        <f t="shared" ref="AK3:AK12" si="3">AF3^1*$AK$2</f>
        <v>0</v>
      </c>
      <c r="AL3">
        <f>AL2</f>
        <v>1.06318</v>
      </c>
      <c r="AM3">
        <f>SUM(AH3:AL3)</f>
        <v>1.06318</v>
      </c>
    </row>
    <row r="4" spans="2:39" x14ac:dyDescent="0.2">
      <c r="B4">
        <v>9.8666666666666654</v>
      </c>
      <c r="C4">
        <v>4.1999999999999815</v>
      </c>
      <c r="D4">
        <v>3.1695362383605721E-2</v>
      </c>
      <c r="E4">
        <v>0.54728438985276817</v>
      </c>
      <c r="I4">
        <v>24.466666666666669</v>
      </c>
      <c r="J4">
        <v>27.3</v>
      </c>
      <c r="K4">
        <v>28.1</v>
      </c>
      <c r="L4">
        <v>23.95</v>
      </c>
      <c r="M4" t="s">
        <v>13</v>
      </c>
      <c r="N4" t="s">
        <v>14</v>
      </c>
      <c r="R4">
        <v>9.8666666666666654</v>
      </c>
      <c r="S4">
        <v>4.1999999999999815</v>
      </c>
      <c r="T4">
        <v>2</v>
      </c>
      <c r="U4">
        <f t="shared" ref="U4:U32" si="4">-0.0078*T4^2</f>
        <v>-3.1199999999999999E-2</v>
      </c>
      <c r="V4">
        <f t="shared" ref="V4:V32" si="5">T4*0.4911</f>
        <v>0.98219999999999996</v>
      </c>
      <c r="W4">
        <v>-6.3200000000000006E-2</v>
      </c>
      <c r="X4">
        <f>SUM(U4:W4)</f>
        <v>0.88779999999999992</v>
      </c>
      <c r="AF4">
        <f>'[1]Data analysis (Sample Loss)'!DC7</f>
        <v>4.0000000001164153</v>
      </c>
      <c r="AG4">
        <f>'[1]Data analysis (Sample Loss)'!DD7</f>
        <v>1.3050000000000002</v>
      </c>
      <c r="AH4">
        <f t="shared" si="0"/>
        <v>-1.4464000001683835E-2</v>
      </c>
      <c r="AI4">
        <f t="shared" si="1"/>
        <v>0.15296000001335519</v>
      </c>
      <c r="AJ4">
        <f t="shared" si="2"/>
        <v>0.11776000000685453</v>
      </c>
      <c r="AK4">
        <f t="shared" si="3"/>
        <v>-0.23064000000671253</v>
      </c>
      <c r="AL4">
        <f t="shared" ref="AL4:AL12" si="6">AL3</f>
        <v>1.06318</v>
      </c>
      <c r="AM4">
        <f t="shared" ref="AM4:AM12" si="7">SUM(AH4:AL4)</f>
        <v>1.0887960000118133</v>
      </c>
    </row>
    <row r="5" spans="2:39" x14ac:dyDescent="0.2">
      <c r="B5">
        <v>10.899999999999999</v>
      </c>
      <c r="C5">
        <v>4.5599999999998531</v>
      </c>
      <c r="D5">
        <v>0.89163934243677512</v>
      </c>
      <c r="E5">
        <v>0.41528048175103283</v>
      </c>
      <c r="R5">
        <v>10.899999999999999</v>
      </c>
      <c r="S5">
        <v>4.5599999999998531</v>
      </c>
      <c r="T5">
        <v>3</v>
      </c>
      <c r="U5">
        <f t="shared" si="4"/>
        <v>-7.0199999999999999E-2</v>
      </c>
      <c r="V5">
        <f t="shared" si="5"/>
        <v>1.4733000000000001</v>
      </c>
      <c r="W5">
        <v>-6.3200000000000006E-2</v>
      </c>
      <c r="X5">
        <f t="shared" ref="X5:X32" si="8">SUM(U5:W5)</f>
        <v>1.3399000000000001</v>
      </c>
      <c r="AF5">
        <f>'[1]Data analysis (Sample Loss)'!DC8</f>
        <v>9.1666666666860692</v>
      </c>
      <c r="AG5">
        <f>'[1]Data analysis (Sample Loss)'!DD8</f>
        <v>2.7116666666666664</v>
      </c>
      <c r="AH5">
        <f t="shared" si="0"/>
        <v>-0.39892771026572338</v>
      </c>
      <c r="AI5">
        <f t="shared" si="1"/>
        <v>1.8409085648265047</v>
      </c>
      <c r="AJ5">
        <f t="shared" si="2"/>
        <v>0.61844444444706259</v>
      </c>
      <c r="AK5">
        <f t="shared" si="3"/>
        <v>-0.52855000000111874</v>
      </c>
      <c r="AL5">
        <f t="shared" si="6"/>
        <v>1.06318</v>
      </c>
      <c r="AM5">
        <f t="shared" si="7"/>
        <v>2.595055299006725</v>
      </c>
    </row>
    <row r="6" spans="2:39" x14ac:dyDescent="0.2">
      <c r="B6">
        <v>19.633333333333333</v>
      </c>
      <c r="C6">
        <v>6.1199999999999477</v>
      </c>
      <c r="D6">
        <v>57.59909119613576</v>
      </c>
      <c r="E6">
        <v>7</v>
      </c>
      <c r="J6" t="s">
        <v>3</v>
      </c>
      <c r="K6" t="s">
        <v>4</v>
      </c>
      <c r="R6">
        <v>19.633333333333333</v>
      </c>
      <c r="S6">
        <v>6.1199999999999477</v>
      </c>
      <c r="T6">
        <v>4</v>
      </c>
      <c r="U6">
        <f t="shared" si="4"/>
        <v>-0.12479999999999999</v>
      </c>
      <c r="V6">
        <f t="shared" si="5"/>
        <v>1.9643999999999999</v>
      </c>
      <c r="W6">
        <v>-6.3200000000000006E-2</v>
      </c>
      <c r="X6">
        <f t="shared" si="8"/>
        <v>1.7764</v>
      </c>
      <c r="AF6">
        <f>'[1]Data analysis (Sample Loss)'!DC9</f>
        <v>11.916666666744277</v>
      </c>
      <c r="AG6">
        <f>'[1]Data analysis (Sample Loss)'!DD9</f>
        <v>3.9516666666666667</v>
      </c>
      <c r="AH6">
        <f t="shared" si="0"/>
        <v>-1.1393774333099673</v>
      </c>
      <c r="AI6">
        <f t="shared" si="1"/>
        <v>4.0444761169771697</v>
      </c>
      <c r="AJ6">
        <f t="shared" si="2"/>
        <v>1.0451711111247248</v>
      </c>
      <c r="AK6">
        <f t="shared" si="3"/>
        <v>-0.68711500000447501</v>
      </c>
      <c r="AL6">
        <f t="shared" si="6"/>
        <v>1.06318</v>
      </c>
      <c r="AM6">
        <f t="shared" si="7"/>
        <v>4.3263347947874529</v>
      </c>
    </row>
    <row r="7" spans="2:39" x14ac:dyDescent="0.2">
      <c r="B7">
        <v>18.7</v>
      </c>
      <c r="C7">
        <v>6.5600000000001657</v>
      </c>
      <c r="J7">
        <v>24.466666666666669</v>
      </c>
      <c r="K7">
        <v>7.867500000000005</v>
      </c>
      <c r="R7">
        <v>18.7</v>
      </c>
      <c r="S7">
        <v>6.5600000000001657</v>
      </c>
      <c r="T7">
        <v>5</v>
      </c>
      <c r="U7">
        <f t="shared" si="4"/>
        <v>-0.19499999999999998</v>
      </c>
      <c r="V7">
        <f t="shared" si="5"/>
        <v>2.4554999999999998</v>
      </c>
      <c r="W7">
        <v>-6.3200000000000006E-2</v>
      </c>
      <c r="X7">
        <f t="shared" si="8"/>
        <v>2.1972999999999998</v>
      </c>
      <c r="AF7">
        <f>'[1]Data analysis (Sample Loss)'!DC10</f>
        <v>23.000000000058208</v>
      </c>
      <c r="AG7">
        <f>'[1]Data analysis (Sample Loss)'!DD10</f>
        <v>16.958333333333332</v>
      </c>
      <c r="AH7">
        <f t="shared" si="0"/>
        <v>-15.81101650016006</v>
      </c>
      <c r="AI7">
        <f t="shared" si="1"/>
        <v>29.079130000220779</v>
      </c>
      <c r="AJ7">
        <f t="shared" si="2"/>
        <v>3.8934400000197069</v>
      </c>
      <c r="AK7">
        <f t="shared" si="3"/>
        <v>-1.3261800000033563</v>
      </c>
      <c r="AL7">
        <f t="shared" si="6"/>
        <v>1.06318</v>
      </c>
      <c r="AM7">
        <f t="shared" si="7"/>
        <v>16.898553500077071</v>
      </c>
    </row>
    <row r="8" spans="2:39" x14ac:dyDescent="0.2">
      <c r="B8">
        <v>19.366666666666667</v>
      </c>
      <c r="C8">
        <v>7.1600000000000108</v>
      </c>
      <c r="J8">
        <v>27.3</v>
      </c>
      <c r="K8">
        <v>7.9375000000000195</v>
      </c>
      <c r="R8">
        <v>19.366666666666667</v>
      </c>
      <c r="S8">
        <v>7.1600000000000108</v>
      </c>
      <c r="T8">
        <v>6</v>
      </c>
      <c r="U8">
        <f t="shared" si="4"/>
        <v>-0.28079999999999999</v>
      </c>
      <c r="V8">
        <f t="shared" si="5"/>
        <v>2.9466000000000001</v>
      </c>
      <c r="W8">
        <v>-6.3200000000000006E-2</v>
      </c>
      <c r="X8">
        <f t="shared" si="8"/>
        <v>2.6025999999999998</v>
      </c>
      <c r="AF8">
        <f>'[1]Data analysis (Sample Loss)'!DC11</f>
        <v>26.500000000116415</v>
      </c>
      <c r="AG8">
        <f>'[1]Data analysis (Sample Loss)'!DD11</f>
        <v>21.512499999999999</v>
      </c>
      <c r="AH8">
        <f t="shared" si="0"/>
        <v>-27.863261031739622</v>
      </c>
      <c r="AI8">
        <f t="shared" si="1"/>
        <v>44.477003750586171</v>
      </c>
      <c r="AJ8">
        <f t="shared" si="2"/>
        <v>5.1685600000454111</v>
      </c>
      <c r="AK8">
        <f t="shared" si="3"/>
        <v>-1.5279900000067126</v>
      </c>
      <c r="AL8">
        <f t="shared" si="6"/>
        <v>1.06318</v>
      </c>
      <c r="AM8">
        <f t="shared" si="7"/>
        <v>21.317492718885244</v>
      </c>
    </row>
    <row r="9" spans="2:39" x14ac:dyDescent="0.2">
      <c r="B9">
        <v>19.499999999999996</v>
      </c>
      <c r="C9">
        <v>6.3600000000000989</v>
      </c>
      <c r="J9">
        <v>28.1</v>
      </c>
      <c r="K9">
        <v>7.9874999999999918</v>
      </c>
      <c r="R9">
        <v>19.499999999999996</v>
      </c>
      <c r="S9">
        <v>6.3600000000000989</v>
      </c>
      <c r="T9">
        <v>7</v>
      </c>
      <c r="U9">
        <f t="shared" si="4"/>
        <v>-0.38219999999999998</v>
      </c>
      <c r="V9">
        <f t="shared" si="5"/>
        <v>3.4377</v>
      </c>
      <c r="W9">
        <v>-6.3200000000000006E-2</v>
      </c>
      <c r="X9">
        <f t="shared" si="8"/>
        <v>2.9922999999999997</v>
      </c>
      <c r="AF9">
        <f>'[1]Data analysis (Sample Loss)'!DC12</f>
        <v>29.916666666744277</v>
      </c>
      <c r="AG9">
        <f>'[1]Data analysis (Sample Loss)'!DD12</f>
        <v>24.412500000000001</v>
      </c>
      <c r="AH9">
        <f t="shared" si="0"/>
        <v>-45.258614829583266</v>
      </c>
      <c r="AI9">
        <f t="shared" si="1"/>
        <v>63.993742367396194</v>
      </c>
      <c r="AJ9">
        <f t="shared" si="2"/>
        <v>6.5872511111452887</v>
      </c>
      <c r="AK9">
        <f t="shared" si="3"/>
        <v>-1.7249950000044751</v>
      </c>
      <c r="AL9">
        <f t="shared" si="6"/>
        <v>1.06318</v>
      </c>
      <c r="AM9">
        <f t="shared" si="7"/>
        <v>24.66056364895374</v>
      </c>
    </row>
    <row r="10" spans="2:39" x14ac:dyDescent="0.2">
      <c r="B10">
        <v>21.366666666666667</v>
      </c>
      <c r="C10">
        <v>7.4600000000000222</v>
      </c>
      <c r="J10">
        <v>23.95</v>
      </c>
      <c r="K10">
        <v>7.6875000000000249</v>
      </c>
      <c r="R10">
        <v>21.366666666666667</v>
      </c>
      <c r="S10">
        <v>7.4600000000000222</v>
      </c>
      <c r="T10">
        <v>8</v>
      </c>
      <c r="U10">
        <f t="shared" si="4"/>
        <v>-0.49919999999999998</v>
      </c>
      <c r="V10">
        <f t="shared" si="5"/>
        <v>3.9287999999999998</v>
      </c>
      <c r="W10">
        <v>-6.3200000000000006E-2</v>
      </c>
      <c r="X10">
        <f t="shared" si="8"/>
        <v>3.3663999999999996</v>
      </c>
      <c r="AF10">
        <f>'[1]Data analysis (Sample Loss)'!DC13</f>
        <v>31.833333333372138</v>
      </c>
      <c r="AG10">
        <f>'[1]Data analysis (Sample Loss)'!DD13</f>
        <v>25.154166666666665</v>
      </c>
      <c r="AH10">
        <f t="shared" si="0"/>
        <v>-58.019891895730453</v>
      </c>
      <c r="AI10">
        <f t="shared" si="1"/>
        <v>77.098202268800478</v>
      </c>
      <c r="AJ10">
        <f t="shared" si="2"/>
        <v>7.4583377777959621</v>
      </c>
      <c r="AK10">
        <f t="shared" si="3"/>
        <v>-1.8355100000022375</v>
      </c>
      <c r="AL10">
        <f t="shared" si="6"/>
        <v>1.06318</v>
      </c>
      <c r="AM10">
        <f t="shared" si="7"/>
        <v>25.764318150863748</v>
      </c>
    </row>
    <row r="11" spans="2:39" x14ac:dyDescent="0.2">
      <c r="B11">
        <v>19.933333333333334</v>
      </c>
      <c r="C11">
        <v>6.1200000000001253</v>
      </c>
      <c r="R11">
        <v>19.933333333333334</v>
      </c>
      <c r="S11">
        <v>6.1200000000001253</v>
      </c>
      <c r="T11">
        <v>9</v>
      </c>
      <c r="U11">
        <f t="shared" si="4"/>
        <v>-0.63179999999999992</v>
      </c>
      <c r="V11">
        <f t="shared" si="5"/>
        <v>4.4199000000000002</v>
      </c>
      <c r="W11">
        <v>-6.3200000000000006E-2</v>
      </c>
      <c r="X11">
        <f t="shared" si="8"/>
        <v>3.7248999999999999</v>
      </c>
      <c r="AF11">
        <f>'[1]Data analysis (Sample Loss)'!DC14</f>
        <v>34.5</v>
      </c>
      <c r="AG11">
        <f>'[1]Data analysis (Sample Loss)'!DD14</f>
        <v>25.954166666666669</v>
      </c>
      <c r="AH11">
        <f t="shared" si="0"/>
        <v>-80.043271031250015</v>
      </c>
      <c r="AI11">
        <f t="shared" si="1"/>
        <v>98.142063750000005</v>
      </c>
      <c r="AJ11">
        <f t="shared" si="2"/>
        <v>8.7602399999999996</v>
      </c>
      <c r="AK11">
        <f t="shared" si="3"/>
        <v>-1.9892700000000001</v>
      </c>
      <c r="AL11">
        <f t="shared" si="6"/>
        <v>1.06318</v>
      </c>
      <c r="AM11">
        <f t="shared" si="7"/>
        <v>25.932942718749988</v>
      </c>
    </row>
    <row r="12" spans="2:39" x14ac:dyDescent="0.2">
      <c r="R12">
        <v>2.4</v>
      </c>
      <c r="S12">
        <v>0.84444444444445022</v>
      </c>
      <c r="T12">
        <v>10</v>
      </c>
      <c r="U12">
        <f t="shared" si="4"/>
        <v>-0.77999999999999992</v>
      </c>
      <c r="V12">
        <f t="shared" si="5"/>
        <v>4.9109999999999996</v>
      </c>
      <c r="W12">
        <v>-6.3200000000000006E-2</v>
      </c>
      <c r="X12">
        <f t="shared" si="8"/>
        <v>4.0677999999999992</v>
      </c>
      <c r="AF12">
        <v>35.5</v>
      </c>
      <c r="AH12">
        <f t="shared" si="0"/>
        <v>-89.734998531250014</v>
      </c>
      <c r="AI12">
        <f t="shared" si="1"/>
        <v>106.92591125000001</v>
      </c>
      <c r="AJ12">
        <f t="shared" si="2"/>
        <v>9.2754399999999997</v>
      </c>
      <c r="AK12">
        <f t="shared" si="3"/>
        <v>-2.0469300000000001</v>
      </c>
      <c r="AL12">
        <f t="shared" si="6"/>
        <v>1.06318</v>
      </c>
      <c r="AM12">
        <f t="shared" si="7"/>
        <v>25.482602718749998</v>
      </c>
    </row>
    <row r="13" spans="2:39" x14ac:dyDescent="0.2">
      <c r="R13">
        <v>20.466666666666672</v>
      </c>
      <c r="S13">
        <v>6.4699999999999314</v>
      </c>
      <c r="T13">
        <v>11</v>
      </c>
      <c r="U13">
        <f t="shared" si="4"/>
        <v>-0.94379999999999997</v>
      </c>
      <c r="V13">
        <f t="shared" si="5"/>
        <v>5.4020999999999999</v>
      </c>
      <c r="W13">
        <v>-6.3200000000000006E-2</v>
      </c>
      <c r="X13">
        <f t="shared" si="8"/>
        <v>4.3950999999999993</v>
      </c>
      <c r="AF13" s="1">
        <f>'[1]Data analysis (Sample Loss)'!DC15</f>
        <v>35.500000000116415</v>
      </c>
      <c r="AG13" s="1" t="e">
        <f>'[1]Data analysis (Sample Loss)'!DD15</f>
        <v>#DIV/0!</v>
      </c>
    </row>
    <row r="14" spans="2:39" x14ac:dyDescent="0.2">
      <c r="R14">
        <v>25.033333333333335</v>
      </c>
      <c r="S14">
        <v>6.6000000000000725</v>
      </c>
      <c r="T14">
        <v>12</v>
      </c>
      <c r="U14">
        <f t="shared" si="4"/>
        <v>-1.1232</v>
      </c>
      <c r="V14">
        <f t="shared" si="5"/>
        <v>5.8932000000000002</v>
      </c>
      <c r="W14">
        <v>-6.3200000000000006E-2</v>
      </c>
      <c r="X14">
        <f t="shared" si="8"/>
        <v>4.7068000000000003</v>
      </c>
    </row>
    <row r="15" spans="2:39" x14ac:dyDescent="0.2">
      <c r="R15">
        <v>2.4533333333333336</v>
      </c>
      <c r="S15">
        <v>1.0666666666667466</v>
      </c>
      <c r="T15">
        <v>13</v>
      </c>
      <c r="U15">
        <f t="shared" si="4"/>
        <v>-1.3182</v>
      </c>
      <c r="V15">
        <f t="shared" si="5"/>
        <v>6.3842999999999996</v>
      </c>
      <c r="W15">
        <v>-6.3200000000000006E-2</v>
      </c>
      <c r="X15">
        <f t="shared" si="8"/>
        <v>5.0028999999999995</v>
      </c>
    </row>
    <row r="16" spans="2:39" x14ac:dyDescent="0.2">
      <c r="R16">
        <v>21.8</v>
      </c>
      <c r="S16">
        <v>6.8100000000000271</v>
      </c>
      <c r="T16">
        <v>14</v>
      </c>
      <c r="U16">
        <f t="shared" si="4"/>
        <v>-1.5287999999999999</v>
      </c>
      <c r="V16">
        <f t="shared" si="5"/>
        <v>6.8754</v>
      </c>
      <c r="W16">
        <v>-6.3200000000000006E-2</v>
      </c>
      <c r="X16">
        <f t="shared" si="8"/>
        <v>5.2834000000000003</v>
      </c>
    </row>
    <row r="17" spans="4:24" x14ac:dyDescent="0.2">
      <c r="R17">
        <v>24</v>
      </c>
      <c r="S17">
        <v>6.9799999999999862</v>
      </c>
      <c r="T17">
        <v>15</v>
      </c>
      <c r="U17">
        <f t="shared" si="4"/>
        <v>-1.7549999999999999</v>
      </c>
      <c r="V17">
        <f t="shared" si="5"/>
        <v>7.3664999999999994</v>
      </c>
      <c r="W17">
        <v>-6.3200000000000006E-2</v>
      </c>
      <c r="X17">
        <f t="shared" si="8"/>
        <v>5.5482999999999993</v>
      </c>
    </row>
    <row r="18" spans="4:24" x14ac:dyDescent="0.2">
      <c r="R18">
        <v>2.2966666666666664</v>
      </c>
      <c r="S18">
        <v>1.0444444444445762</v>
      </c>
      <c r="T18">
        <v>16</v>
      </c>
      <c r="U18">
        <f t="shared" si="4"/>
        <v>-1.9967999999999999</v>
      </c>
      <c r="V18">
        <f t="shared" si="5"/>
        <v>7.8575999999999997</v>
      </c>
      <c r="W18">
        <v>-6.3200000000000006E-2</v>
      </c>
      <c r="X18">
        <f t="shared" si="8"/>
        <v>5.7975999999999992</v>
      </c>
    </row>
    <row r="19" spans="4:24" x14ac:dyDescent="0.2">
      <c r="R19">
        <v>22.200000000000003</v>
      </c>
      <c r="S19">
        <v>6.3399999999999679</v>
      </c>
      <c r="T19">
        <v>17</v>
      </c>
      <c r="U19">
        <f t="shared" si="4"/>
        <v>-2.2542</v>
      </c>
      <c r="V19">
        <f t="shared" si="5"/>
        <v>8.3486999999999991</v>
      </c>
      <c r="W19">
        <v>-6.3200000000000006E-2</v>
      </c>
      <c r="X19">
        <f t="shared" si="8"/>
        <v>6.031299999999999</v>
      </c>
    </row>
    <row r="20" spans="4:24" x14ac:dyDescent="0.2">
      <c r="R20">
        <v>25.950000000000003</v>
      </c>
      <c r="S20">
        <v>6.6399999999999793</v>
      </c>
      <c r="T20">
        <v>18</v>
      </c>
      <c r="U20">
        <f t="shared" si="4"/>
        <v>-2.5271999999999997</v>
      </c>
      <c r="V20">
        <f t="shared" si="5"/>
        <v>8.8398000000000003</v>
      </c>
      <c r="W20">
        <v>-6.3200000000000006E-2</v>
      </c>
      <c r="X20">
        <f t="shared" si="8"/>
        <v>6.2494000000000005</v>
      </c>
    </row>
    <row r="21" spans="4:24" x14ac:dyDescent="0.2">
      <c r="R21">
        <v>24.466666666666669</v>
      </c>
      <c r="S21">
        <v>7.867500000000005</v>
      </c>
      <c r="T21">
        <v>19</v>
      </c>
      <c r="U21">
        <f t="shared" si="4"/>
        <v>-2.8157999999999999</v>
      </c>
      <c r="V21">
        <f t="shared" si="5"/>
        <v>9.3308999999999997</v>
      </c>
      <c r="W21">
        <v>-6.3200000000000006E-2</v>
      </c>
      <c r="X21">
        <f t="shared" si="8"/>
        <v>6.4519000000000002</v>
      </c>
    </row>
    <row r="22" spans="4:24" x14ac:dyDescent="0.2">
      <c r="R22">
        <v>27.3</v>
      </c>
      <c r="S22">
        <v>7.9375000000000195</v>
      </c>
      <c r="T22">
        <v>20</v>
      </c>
      <c r="U22">
        <f t="shared" si="4"/>
        <v>-3.1199999999999997</v>
      </c>
      <c r="V22">
        <f t="shared" si="5"/>
        <v>9.8219999999999992</v>
      </c>
      <c r="W22">
        <v>-6.3200000000000006E-2</v>
      </c>
      <c r="X22">
        <f t="shared" si="8"/>
        <v>6.6387999999999998</v>
      </c>
    </row>
    <row r="23" spans="4:24" x14ac:dyDescent="0.2">
      <c r="R23">
        <v>28.1</v>
      </c>
      <c r="S23">
        <v>7.9874999999999918</v>
      </c>
      <c r="T23">
        <v>21</v>
      </c>
      <c r="U23">
        <f t="shared" si="4"/>
        <v>-3.4398</v>
      </c>
      <c r="V23">
        <f t="shared" si="5"/>
        <v>10.3131</v>
      </c>
      <c r="W23">
        <v>-6.3200000000000006E-2</v>
      </c>
      <c r="X23">
        <f t="shared" si="8"/>
        <v>6.8101000000000003</v>
      </c>
    </row>
    <row r="24" spans="4:24" x14ac:dyDescent="0.2">
      <c r="R24">
        <v>23.95</v>
      </c>
      <c r="S24">
        <v>7.6875000000000249</v>
      </c>
      <c r="T24">
        <v>22</v>
      </c>
      <c r="U24">
        <f t="shared" si="4"/>
        <v>-3.7751999999999999</v>
      </c>
      <c r="V24">
        <f t="shared" si="5"/>
        <v>10.8042</v>
      </c>
      <c r="W24">
        <v>-6.3200000000000006E-2</v>
      </c>
      <c r="X24">
        <f t="shared" si="8"/>
        <v>6.9657999999999998</v>
      </c>
    </row>
    <row r="25" spans="4:24" x14ac:dyDescent="0.2">
      <c r="T25">
        <v>23</v>
      </c>
      <c r="U25">
        <f t="shared" si="4"/>
        <v>-4.1261999999999999</v>
      </c>
      <c r="V25">
        <f t="shared" si="5"/>
        <v>11.295299999999999</v>
      </c>
      <c r="W25">
        <v>-6.3200000000000006E-2</v>
      </c>
      <c r="X25">
        <f t="shared" si="8"/>
        <v>7.1058999999999992</v>
      </c>
    </row>
    <row r="26" spans="4:24" x14ac:dyDescent="0.2">
      <c r="T26">
        <v>24</v>
      </c>
      <c r="U26">
        <f t="shared" si="4"/>
        <v>-4.4927999999999999</v>
      </c>
      <c r="V26">
        <f t="shared" si="5"/>
        <v>11.7864</v>
      </c>
      <c r="W26">
        <v>-6.3200000000000006E-2</v>
      </c>
      <c r="X26">
        <f t="shared" si="8"/>
        <v>7.2304000000000004</v>
      </c>
    </row>
    <row r="27" spans="4:24" x14ac:dyDescent="0.2">
      <c r="T27">
        <v>25</v>
      </c>
      <c r="U27">
        <f t="shared" si="4"/>
        <v>-4.875</v>
      </c>
      <c r="V27">
        <f t="shared" si="5"/>
        <v>12.2775</v>
      </c>
      <c r="W27">
        <v>-6.3200000000000006E-2</v>
      </c>
      <c r="X27">
        <f t="shared" si="8"/>
        <v>7.3392999999999997</v>
      </c>
    </row>
    <row r="28" spans="4:24" x14ac:dyDescent="0.2">
      <c r="T28">
        <v>26</v>
      </c>
      <c r="U28">
        <f t="shared" si="4"/>
        <v>-5.2728000000000002</v>
      </c>
      <c r="V28">
        <f t="shared" si="5"/>
        <v>12.768599999999999</v>
      </c>
      <c r="W28">
        <v>-6.3200000000000006E-2</v>
      </c>
      <c r="X28">
        <f t="shared" si="8"/>
        <v>7.432599999999999</v>
      </c>
    </row>
    <row r="29" spans="4:24" x14ac:dyDescent="0.2">
      <c r="T29">
        <v>27</v>
      </c>
      <c r="U29">
        <f t="shared" si="4"/>
        <v>-5.6861999999999995</v>
      </c>
      <c r="V29">
        <f t="shared" si="5"/>
        <v>13.259699999999999</v>
      </c>
      <c r="W29">
        <v>-6.3200000000000006E-2</v>
      </c>
      <c r="X29">
        <f t="shared" si="8"/>
        <v>7.5102999999999991</v>
      </c>
    </row>
    <row r="30" spans="4:24" x14ac:dyDescent="0.2">
      <c r="T30">
        <v>28</v>
      </c>
      <c r="U30">
        <f t="shared" si="4"/>
        <v>-6.1151999999999997</v>
      </c>
      <c r="V30">
        <f t="shared" si="5"/>
        <v>13.7508</v>
      </c>
      <c r="W30">
        <v>-6.3200000000000006E-2</v>
      </c>
      <c r="X30">
        <f t="shared" si="8"/>
        <v>7.5724</v>
      </c>
    </row>
    <row r="31" spans="4:24" x14ac:dyDescent="0.2">
      <c r="T31">
        <v>29</v>
      </c>
      <c r="U31">
        <f t="shared" si="4"/>
        <v>-6.5598000000000001</v>
      </c>
      <c r="V31">
        <f t="shared" si="5"/>
        <v>14.241899999999999</v>
      </c>
      <c r="W31">
        <v>-6.3200000000000006E-2</v>
      </c>
      <c r="X31">
        <f t="shared" si="8"/>
        <v>7.6188999999999991</v>
      </c>
    </row>
    <row r="32" spans="4:24" x14ac:dyDescent="0.2">
      <c r="D32">
        <v>62424</v>
      </c>
      <c r="T32">
        <v>30</v>
      </c>
      <c r="U32">
        <f t="shared" si="4"/>
        <v>-7.02</v>
      </c>
      <c r="V32">
        <f t="shared" si="5"/>
        <v>14.732999999999999</v>
      </c>
      <c r="W32">
        <v>-6.3200000000000006E-2</v>
      </c>
      <c r="X32">
        <f t="shared" si="8"/>
        <v>7.649799999999999</v>
      </c>
    </row>
    <row r="33" spans="4:5" x14ac:dyDescent="0.2">
      <c r="D33" t="s">
        <v>3</v>
      </c>
      <c r="E33" t="s">
        <v>37</v>
      </c>
    </row>
    <row r="35" spans="4:5" x14ac:dyDescent="0.2">
      <c r="D35">
        <v>2.4</v>
      </c>
      <c r="E35">
        <v>0.84444444444445022</v>
      </c>
    </row>
    <row r="36" spans="4:5" x14ac:dyDescent="0.2">
      <c r="D36">
        <v>20.466666666666672</v>
      </c>
      <c r="E36">
        <v>6.4699999999999314</v>
      </c>
    </row>
    <row r="37" spans="4:5" x14ac:dyDescent="0.2">
      <c r="D37">
        <v>25.033333333333335</v>
      </c>
      <c r="E37">
        <v>6.6000000000000725</v>
      </c>
    </row>
    <row r="38" spans="4:5" x14ac:dyDescent="0.2">
      <c r="D38">
        <v>2.4533333333333336</v>
      </c>
      <c r="E38">
        <v>1.0666666666667466</v>
      </c>
    </row>
    <row r="39" spans="4:5" x14ac:dyDescent="0.2">
      <c r="D39">
        <v>21.8</v>
      </c>
      <c r="E39">
        <v>6.8100000000000271</v>
      </c>
    </row>
    <row r="40" spans="4:5" x14ac:dyDescent="0.2">
      <c r="D40">
        <v>24</v>
      </c>
      <c r="E40">
        <v>6.9799999999999862</v>
      </c>
    </row>
    <row r="41" spans="4:5" x14ac:dyDescent="0.2">
      <c r="D41">
        <v>2.2966666666666664</v>
      </c>
      <c r="E41">
        <v>1.0444444444445762</v>
      </c>
    </row>
    <row r="42" spans="4:5" x14ac:dyDescent="0.2">
      <c r="D42">
        <v>22.200000000000003</v>
      </c>
      <c r="E42">
        <v>6.3399999999999679</v>
      </c>
    </row>
    <row r="43" spans="4:5" x14ac:dyDescent="0.2">
      <c r="D43">
        <v>25.950000000000003</v>
      </c>
      <c r="E43">
        <v>6.6399999999999793</v>
      </c>
    </row>
    <row r="50" spans="26:27" x14ac:dyDescent="0.2">
      <c r="Z50" s="2"/>
      <c r="AA50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D16C-AD75-6047-9B84-3D5A77D2C741}">
  <dimension ref="A1:P35"/>
  <sheetViews>
    <sheetView tabSelected="1" workbookViewId="0">
      <selection activeCell="L44" sqref="L44"/>
    </sheetView>
  </sheetViews>
  <sheetFormatPr baseColWidth="10" defaultRowHeight="15" x14ac:dyDescent="0.2"/>
  <cols>
    <col min="1" max="1" width="23.5" customWidth="1"/>
  </cols>
  <sheetData>
    <row r="1" spans="1:16" x14ac:dyDescent="0.2">
      <c r="A1" t="s">
        <v>17</v>
      </c>
      <c r="C1" t="s">
        <v>18</v>
      </c>
      <c r="E1" t="s">
        <v>19</v>
      </c>
      <c r="G1" t="s">
        <v>20</v>
      </c>
      <c r="M1" t="s">
        <v>27</v>
      </c>
      <c r="N1" t="s">
        <v>30</v>
      </c>
    </row>
    <row r="2" spans="1:16" ht="32" x14ac:dyDescent="0.2">
      <c r="A2" s="4" t="s">
        <v>32</v>
      </c>
      <c r="C2" t="s">
        <v>13</v>
      </c>
      <c r="D2" t="s">
        <v>4</v>
      </c>
      <c r="E2" t="s">
        <v>13</v>
      </c>
      <c r="F2" t="s">
        <v>4</v>
      </c>
      <c r="G2" t="s">
        <v>13</v>
      </c>
      <c r="H2" t="s">
        <v>4</v>
      </c>
      <c r="K2" t="s">
        <v>24</v>
      </c>
      <c r="M2" t="s">
        <v>28</v>
      </c>
      <c r="N2">
        <v>180.16</v>
      </c>
    </row>
    <row r="3" spans="1:16" x14ac:dyDescent="0.2">
      <c r="A3" s="3"/>
      <c r="C3">
        <v>1.1833333333333331</v>
      </c>
      <c r="D3">
        <f>$A$4*C3^2 + $A$5*C3 + $A$6</f>
        <v>0.50701283333333313</v>
      </c>
      <c r="E3">
        <v>1.2666666666666666</v>
      </c>
      <c r="F3">
        <f>$A$4*E3^2 + $A$5*E3 + $A$6</f>
        <v>0.54634533333333324</v>
      </c>
      <c r="G3">
        <v>1.0833333333333335</v>
      </c>
      <c r="H3">
        <f>$A$4*G3^2 + $A$5*G3 + $A$6</f>
        <v>0.45967083333333336</v>
      </c>
      <c r="M3" t="s">
        <v>29</v>
      </c>
      <c r="N3">
        <v>140.09</v>
      </c>
    </row>
    <row r="4" spans="1:16" x14ac:dyDescent="0.2">
      <c r="A4">
        <v>-7.7999999999999996E-3</v>
      </c>
      <c r="C4">
        <v>2.4166666666666665</v>
      </c>
      <c r="D4">
        <f t="shared" ref="D4:D8" si="0">$A$4*C4^2 + $A$5*C4 + $A$6</f>
        <v>1.0780708333333333</v>
      </c>
      <c r="E4">
        <v>2.1333333333333329</v>
      </c>
      <c r="F4">
        <f t="shared" ref="F4:F8" si="1">$A$4*E4^2 + $A$5*E4 + $A$6</f>
        <v>0.94898133333333312</v>
      </c>
      <c r="G4">
        <v>2.1733333333333338</v>
      </c>
      <c r="H4">
        <f t="shared" ref="H4:H8" si="2">$A$4*G4^2 + $A$5*G4 + $A$6</f>
        <v>0.96728165333333338</v>
      </c>
    </row>
    <row r="5" spans="1:16" x14ac:dyDescent="0.2">
      <c r="A5">
        <v>0.49109999999999998</v>
      </c>
      <c r="C5">
        <v>21.866666666666671</v>
      </c>
      <c r="D5">
        <f t="shared" si="0"/>
        <v>6.9459413333333329</v>
      </c>
      <c r="E5">
        <v>17.233333333333334</v>
      </c>
      <c r="F5">
        <f t="shared" si="1"/>
        <v>6.0835853333333336</v>
      </c>
      <c r="G5">
        <v>19.333333333333332</v>
      </c>
      <c r="H5">
        <f t="shared" si="2"/>
        <v>6.515933333333332</v>
      </c>
    </row>
    <row r="6" spans="1:16" x14ac:dyDescent="0.2">
      <c r="A6">
        <v>-6.3200000000000006E-2</v>
      </c>
      <c r="C6">
        <v>24.5</v>
      </c>
      <c r="D6">
        <f t="shared" si="0"/>
        <v>7.2868000000000004</v>
      </c>
      <c r="E6">
        <v>20.900000000000002</v>
      </c>
      <c r="F6">
        <f>$A$4*E6^2 + $A$5*E6 + $A$6</f>
        <v>6.7936720000000008</v>
      </c>
      <c r="G6">
        <v>23.433333333333334</v>
      </c>
      <c r="H6">
        <f t="shared" si="2"/>
        <v>7.1617653333333342</v>
      </c>
    </row>
    <row r="7" spans="1:16" x14ac:dyDescent="0.2">
      <c r="C7">
        <v>25.866666666666667</v>
      </c>
      <c r="D7">
        <f t="shared" si="0"/>
        <v>7.4210613333333333</v>
      </c>
      <c r="E7">
        <v>23.433333333333337</v>
      </c>
      <c r="F7">
        <f t="shared" si="1"/>
        <v>7.1617653333333342</v>
      </c>
      <c r="G7">
        <v>25.033333333333335</v>
      </c>
      <c r="H7">
        <f t="shared" si="2"/>
        <v>7.342661333333333</v>
      </c>
    </row>
    <row r="8" spans="1:16" x14ac:dyDescent="0.2">
      <c r="C8">
        <v>26.766666666666673</v>
      </c>
      <c r="D8">
        <f t="shared" si="0"/>
        <v>7.4935653333333336</v>
      </c>
      <c r="E8">
        <v>23.333333333333336</v>
      </c>
      <c r="F8">
        <f t="shared" si="1"/>
        <v>7.1491333333333342</v>
      </c>
      <c r="G8">
        <v>24.700000000000003</v>
      </c>
      <c r="H8">
        <f t="shared" si="2"/>
        <v>7.308268</v>
      </c>
    </row>
    <row r="10" spans="1:16" x14ac:dyDescent="0.2">
      <c r="A10" t="s">
        <v>21</v>
      </c>
      <c r="C10" t="s">
        <v>18</v>
      </c>
      <c r="E10" t="s">
        <v>19</v>
      </c>
      <c r="G10" t="s">
        <v>20</v>
      </c>
    </row>
    <row r="11" spans="1:16" x14ac:dyDescent="0.2">
      <c r="A11" t="s">
        <v>25</v>
      </c>
      <c r="C11" t="s">
        <v>38</v>
      </c>
      <c r="D11" t="s">
        <v>23</v>
      </c>
      <c r="E11" t="s">
        <v>38</v>
      </c>
      <c r="F11" t="s">
        <v>23</v>
      </c>
      <c r="G11" t="s">
        <v>38</v>
      </c>
      <c r="H11" t="s">
        <v>23</v>
      </c>
      <c r="L11" t="s">
        <v>18</v>
      </c>
    </row>
    <row r="12" spans="1:16" x14ac:dyDescent="0.2">
      <c r="C12">
        <v>95.2</v>
      </c>
      <c r="D12">
        <f>C12/100*0.214</f>
        <v>0.20372800000000002</v>
      </c>
      <c r="E12">
        <v>95.2</v>
      </c>
      <c r="F12">
        <f>E12/100*0.214</f>
        <v>0.20372800000000002</v>
      </c>
      <c r="G12">
        <v>95.8</v>
      </c>
      <c r="H12">
        <f>G12/100*0.214</f>
        <v>0.205012</v>
      </c>
      <c r="L12" s="5">
        <v>0</v>
      </c>
      <c r="M12">
        <v>0.50701283333333313</v>
      </c>
      <c r="N12">
        <v>588.87937340120868</v>
      </c>
      <c r="O12">
        <v>0.18647364367194258</v>
      </c>
      <c r="P12">
        <v>0.20372800000000002</v>
      </c>
    </row>
    <row r="13" spans="1:16" x14ac:dyDescent="0.2">
      <c r="C13">
        <v>90.8</v>
      </c>
      <c r="D13">
        <f t="shared" ref="D13:D17" si="3">C13/100*0.214</f>
        <v>0.19431199999999998</v>
      </c>
      <c r="E13">
        <v>90.8</v>
      </c>
      <c r="F13">
        <f t="shared" ref="F13:F17" si="4">E13/100*0.214</f>
        <v>0.19431199999999998</v>
      </c>
      <c r="G13">
        <v>90.2</v>
      </c>
      <c r="H13">
        <f t="shared" ref="H13:H17" si="5">G13/100*0.214</f>
        <v>0.19302800000000001</v>
      </c>
      <c r="L13" s="5">
        <v>6</v>
      </c>
      <c r="M13">
        <v>1.0780708333333333</v>
      </c>
      <c r="N13">
        <v>565.72807367810162</v>
      </c>
      <c r="O13">
        <v>5.7090961506719191</v>
      </c>
      <c r="P13">
        <v>0.19431199999999998</v>
      </c>
    </row>
    <row r="14" spans="1:16" x14ac:dyDescent="0.2">
      <c r="C14">
        <v>49.2</v>
      </c>
      <c r="D14">
        <f t="shared" si="3"/>
        <v>0.10528800000000001</v>
      </c>
      <c r="E14">
        <v>49.2</v>
      </c>
      <c r="F14">
        <f t="shared" si="4"/>
        <v>0.10528800000000001</v>
      </c>
      <c r="G14">
        <v>37.700000000000003</v>
      </c>
      <c r="H14">
        <f t="shared" si="5"/>
        <v>8.0678E-2</v>
      </c>
      <c r="L14">
        <v>22.92</v>
      </c>
      <c r="M14">
        <v>6.9459413333333329</v>
      </c>
      <c r="N14">
        <v>262.5831091124129</v>
      </c>
      <c r="O14">
        <v>101.3791534983805</v>
      </c>
      <c r="P14">
        <v>0.10528800000000001</v>
      </c>
    </row>
    <row r="15" spans="1:16" x14ac:dyDescent="0.2">
      <c r="C15">
        <v>44.7</v>
      </c>
      <c r="D15">
        <f t="shared" si="3"/>
        <v>9.5657999999999993E-2</v>
      </c>
      <c r="E15">
        <v>44.7</v>
      </c>
      <c r="F15">
        <f t="shared" si="4"/>
        <v>9.5657999999999993E-2</v>
      </c>
      <c r="G15">
        <v>38.9</v>
      </c>
      <c r="H15">
        <f t="shared" si="5"/>
        <v>8.3246000000000001E-2</v>
      </c>
      <c r="L15">
        <v>26.58</v>
      </c>
      <c r="M15">
        <v>7.2868000000000004</v>
      </c>
      <c r="N15">
        <v>146.74688384804264</v>
      </c>
      <c r="O15">
        <v>136.2258527228328</v>
      </c>
      <c r="P15">
        <v>9.5657999999999993E-2</v>
      </c>
    </row>
    <row r="16" spans="1:16" x14ac:dyDescent="0.2">
      <c r="C16">
        <v>53.7</v>
      </c>
      <c r="D16">
        <f t="shared" si="3"/>
        <v>0.11491800000000001</v>
      </c>
      <c r="E16">
        <v>53.7</v>
      </c>
      <c r="F16">
        <f t="shared" si="4"/>
        <v>0.11491800000000001</v>
      </c>
      <c r="G16">
        <v>47.5</v>
      </c>
      <c r="H16">
        <f t="shared" si="5"/>
        <v>0.10164999999999999</v>
      </c>
      <c r="L16">
        <v>30.42</v>
      </c>
      <c r="M16">
        <v>7.4210613333333333</v>
      </c>
      <c r="N16">
        <v>46.287567833066625</v>
      </c>
      <c r="O16">
        <v>178.35969573910515</v>
      </c>
      <c r="P16">
        <v>0.11491800000000001</v>
      </c>
    </row>
    <row r="17" spans="1:16" x14ac:dyDescent="0.2">
      <c r="C17">
        <v>52.6</v>
      </c>
      <c r="D17">
        <f t="shared" si="3"/>
        <v>0.112564</v>
      </c>
      <c r="E17">
        <v>52.6</v>
      </c>
      <c r="F17">
        <f t="shared" si="4"/>
        <v>0.112564</v>
      </c>
      <c r="G17">
        <v>52.2</v>
      </c>
      <c r="H17">
        <f t="shared" si="5"/>
        <v>0.111708</v>
      </c>
      <c r="L17">
        <v>32.25</v>
      </c>
      <c r="M17">
        <v>7.4935653333333336</v>
      </c>
      <c r="N17">
        <v>4.9857793122823377</v>
      </c>
      <c r="O17">
        <v>187.04262885285743</v>
      </c>
      <c r="P17">
        <v>0.112564</v>
      </c>
    </row>
    <row r="19" spans="1:16" x14ac:dyDescent="0.2">
      <c r="A19" t="s">
        <v>26</v>
      </c>
      <c r="C19" t="s">
        <v>18</v>
      </c>
      <c r="E19" t="s">
        <v>19</v>
      </c>
      <c r="G19" t="s">
        <v>20</v>
      </c>
      <c r="L19" t="s">
        <v>19</v>
      </c>
    </row>
    <row r="20" spans="1:16" x14ac:dyDescent="0.2">
      <c r="C20" t="s">
        <v>22</v>
      </c>
      <c r="D20" t="s">
        <v>23</v>
      </c>
      <c r="E20" t="s">
        <v>22</v>
      </c>
      <c r="F20" t="s">
        <v>23</v>
      </c>
      <c r="G20" t="s">
        <v>22</v>
      </c>
      <c r="H20" t="s">
        <v>23</v>
      </c>
      <c r="L20" s="7">
        <v>0</v>
      </c>
      <c r="M20">
        <v>0.54634533333333324</v>
      </c>
      <c r="N20">
        <v>596.67313035732252</v>
      </c>
      <c r="O20">
        <v>0.18099140565895633</v>
      </c>
      <c r="P20">
        <v>0.20372800000000002</v>
      </c>
    </row>
    <row r="21" spans="1:16" x14ac:dyDescent="0.2">
      <c r="C21">
        <v>106.09250791196175</v>
      </c>
      <c r="D21">
        <f>C21/$N$2*1000</f>
        <v>588.87937340120868</v>
      </c>
      <c r="E21">
        <v>107.49663116517522</v>
      </c>
      <c r="F21">
        <f>E21/$N$2*1000</f>
        <v>596.67313035732252</v>
      </c>
      <c r="G21">
        <v>105.36513818316057</v>
      </c>
      <c r="H21">
        <f>G21/$N$2*1000</f>
        <v>584.84201922269403</v>
      </c>
      <c r="L21" s="7">
        <v>6</v>
      </c>
      <c r="M21">
        <v>0.94898133333333312</v>
      </c>
      <c r="N21">
        <v>573.16861918008976</v>
      </c>
      <c r="O21">
        <v>4.7577014874700492</v>
      </c>
      <c r="P21">
        <v>0.19431199999999998</v>
      </c>
    </row>
    <row r="22" spans="1:16" x14ac:dyDescent="0.2">
      <c r="C22">
        <v>101.92156975384678</v>
      </c>
      <c r="D22">
        <f t="shared" ref="D22:D26" si="6">C22/$N$2*1000</f>
        <v>565.72807367810162</v>
      </c>
      <c r="E22">
        <v>103.26205843148497</v>
      </c>
      <c r="F22">
        <f t="shared" ref="F22:F26" si="7">E22/$N$2*1000</f>
        <v>573.16861918008976</v>
      </c>
      <c r="G22">
        <v>101.74678578983567</v>
      </c>
      <c r="H22">
        <f t="shared" ref="H22:H26" si="8">G22/$N$2*1000</f>
        <v>564.75791401995821</v>
      </c>
      <c r="L22">
        <v>22.92</v>
      </c>
      <c r="M22">
        <v>6.0835853333333336</v>
      </c>
      <c r="N22">
        <v>329.74874560934546</v>
      </c>
      <c r="O22">
        <v>76.011697992790801</v>
      </c>
      <c r="P22">
        <v>0.10528800000000001</v>
      </c>
    </row>
    <row r="23" spans="1:16" x14ac:dyDescent="0.2">
      <c r="C23">
        <v>47.306972937692308</v>
      </c>
      <c r="D23">
        <f t="shared" si="6"/>
        <v>262.5831091124129</v>
      </c>
      <c r="E23">
        <v>59.407534008979681</v>
      </c>
      <c r="F23">
        <f t="shared" si="7"/>
        <v>329.74874560934546</v>
      </c>
      <c r="G23">
        <v>51.807065888987012</v>
      </c>
      <c r="H23">
        <f t="shared" si="8"/>
        <v>287.56142256320499</v>
      </c>
      <c r="L23">
        <v>26.58</v>
      </c>
      <c r="M23">
        <v>6.7936720000000008</v>
      </c>
      <c r="N23">
        <v>229.59768073553678</v>
      </c>
      <c r="O23">
        <v>108.81946775281945</v>
      </c>
      <c r="P23">
        <v>9.5657999999999993E-2</v>
      </c>
    </row>
    <row r="24" spans="1:16" x14ac:dyDescent="0.2">
      <c r="C24">
        <v>26.437918594063358</v>
      </c>
      <c r="D24">
        <f t="shared" si="6"/>
        <v>146.74688384804264</v>
      </c>
      <c r="E24">
        <v>41.364318161314308</v>
      </c>
      <c r="F24">
        <f t="shared" si="7"/>
        <v>229.59768073553678</v>
      </c>
      <c r="G24">
        <v>32.824935517357858</v>
      </c>
      <c r="H24">
        <f t="shared" si="8"/>
        <v>182.19879838675544</v>
      </c>
      <c r="L24">
        <v>30.42</v>
      </c>
      <c r="M24">
        <v>7.1617653333333342</v>
      </c>
      <c r="N24">
        <v>133.53243031989999</v>
      </c>
      <c r="O24">
        <v>142.64743027962092</v>
      </c>
      <c r="P24">
        <v>0.11491800000000001</v>
      </c>
    </row>
    <row r="25" spans="1:16" x14ac:dyDescent="0.2">
      <c r="C25">
        <v>8.3391682208052824</v>
      </c>
      <c r="D25">
        <f t="shared" si="6"/>
        <v>46.287567833066625</v>
      </c>
      <c r="E25">
        <v>24.057202646433179</v>
      </c>
      <c r="F25">
        <f t="shared" si="7"/>
        <v>133.53243031989999</v>
      </c>
      <c r="G25">
        <v>14.117133502104434</v>
      </c>
      <c r="H25">
        <f t="shared" si="8"/>
        <v>78.358867129798142</v>
      </c>
      <c r="L25">
        <v>32.25</v>
      </c>
      <c r="M25">
        <v>7.1491333333333342</v>
      </c>
      <c r="N25">
        <v>94.044668317036368</v>
      </c>
      <c r="O25">
        <v>170.27836728835806</v>
      </c>
      <c r="P25">
        <v>0.112564</v>
      </c>
    </row>
    <row r="26" spans="1:16" x14ac:dyDescent="0.2">
      <c r="C26">
        <v>0.89823800090078598</v>
      </c>
      <c r="D26">
        <f t="shared" si="6"/>
        <v>4.9857793122823377</v>
      </c>
      <c r="E26">
        <v>16.943087443997271</v>
      </c>
      <c r="F26">
        <f t="shared" si="7"/>
        <v>94.044668317036368</v>
      </c>
      <c r="G26">
        <v>6.4002783630949667</v>
      </c>
      <c r="H26">
        <f t="shared" si="8"/>
        <v>35.525523773839737</v>
      </c>
    </row>
    <row r="27" spans="1:16" x14ac:dyDescent="0.2">
      <c r="L27" t="s">
        <v>20</v>
      </c>
    </row>
    <row r="28" spans="1:16" x14ac:dyDescent="0.2">
      <c r="A28" t="s">
        <v>31</v>
      </c>
      <c r="C28" t="s">
        <v>18</v>
      </c>
      <c r="E28" t="s">
        <v>19</v>
      </c>
      <c r="G28" t="s">
        <v>20</v>
      </c>
      <c r="L28" s="8">
        <v>0</v>
      </c>
      <c r="M28">
        <v>0.45967083333333336</v>
      </c>
      <c r="N28">
        <v>584.84201922269403</v>
      </c>
      <c r="O28">
        <v>0.14139624723664185</v>
      </c>
      <c r="P28">
        <v>0.205012</v>
      </c>
    </row>
    <row r="29" spans="1:16" x14ac:dyDescent="0.2">
      <c r="C29" t="s">
        <v>22</v>
      </c>
      <c r="D29" t="s">
        <v>23</v>
      </c>
      <c r="E29" t="s">
        <v>22</v>
      </c>
      <c r="F29" t="s">
        <v>23</v>
      </c>
      <c r="G29" t="s">
        <v>22</v>
      </c>
      <c r="H29" t="s">
        <v>23</v>
      </c>
      <c r="L29" s="8">
        <v>6</v>
      </c>
      <c r="M29">
        <v>0.96728165333333338</v>
      </c>
      <c r="N29">
        <v>564.75791401995821</v>
      </c>
      <c r="O29">
        <v>5.0564274427461884</v>
      </c>
      <c r="P29">
        <v>0.19302800000000001</v>
      </c>
    </row>
    <row r="30" spans="1:16" x14ac:dyDescent="0.2">
      <c r="C30">
        <v>2.6123092742002436E-2</v>
      </c>
      <c r="D30">
        <f>C30/$N$3*1000</f>
        <v>0.18647364367194258</v>
      </c>
      <c r="E30">
        <v>2.5355086018763191E-2</v>
      </c>
      <c r="F30">
        <f>E30/$N$3*1000</f>
        <v>0.18099140565895633</v>
      </c>
      <c r="G30">
        <v>1.9808200275381157E-2</v>
      </c>
      <c r="H30">
        <f>G30/$N$3*1000</f>
        <v>0.14139624723664185</v>
      </c>
      <c r="L30" s="6">
        <v>22.92</v>
      </c>
      <c r="M30">
        <v>6.515933333333332</v>
      </c>
      <c r="N30">
        <v>287.56142256320499</v>
      </c>
      <c r="O30">
        <v>88.77206780049336</v>
      </c>
      <c r="P30">
        <v>8.0678E-2</v>
      </c>
    </row>
    <row r="31" spans="1:16" x14ac:dyDescent="0.2">
      <c r="C31">
        <v>0.79978727974762909</v>
      </c>
      <c r="D31">
        <f t="shared" ref="D31:D35" si="9">C31/$N$3*1000</f>
        <v>5.7090961506719191</v>
      </c>
      <c r="E31">
        <v>0.6665064013796792</v>
      </c>
      <c r="F31">
        <f t="shared" ref="F31:F35" si="10">E31/$N$3*1000</f>
        <v>4.7577014874700492</v>
      </c>
      <c r="G31">
        <v>0.70835492045431347</v>
      </c>
      <c r="H31">
        <f t="shared" ref="H31:H35" si="11">G31/$N$3*1000</f>
        <v>5.0564274427461884</v>
      </c>
      <c r="L31" s="6">
        <v>26.58</v>
      </c>
      <c r="M31">
        <v>7.1617653333333342</v>
      </c>
      <c r="N31">
        <v>182.19879838675544</v>
      </c>
      <c r="O31">
        <v>127.6872607414746</v>
      </c>
      <c r="P31">
        <v>8.3246000000000001E-2</v>
      </c>
    </row>
    <row r="32" spans="1:16" x14ac:dyDescent="0.2">
      <c r="C32">
        <v>14.202205613588125</v>
      </c>
      <c r="D32">
        <f t="shared" si="9"/>
        <v>101.3791534983805</v>
      </c>
      <c r="E32">
        <v>10.648478771810064</v>
      </c>
      <c r="F32">
        <f t="shared" si="10"/>
        <v>76.011697992790801</v>
      </c>
      <c r="G32">
        <v>12.436078978171116</v>
      </c>
      <c r="H32">
        <f t="shared" si="11"/>
        <v>88.77206780049336</v>
      </c>
      <c r="L32" s="6">
        <v>30.42</v>
      </c>
      <c r="M32">
        <v>7.342661333333333</v>
      </c>
      <c r="N32">
        <v>78.358867129798142</v>
      </c>
      <c r="O32">
        <v>168.9171350541483</v>
      </c>
      <c r="P32">
        <v>0.10164999999999999</v>
      </c>
    </row>
    <row r="33" spans="3:16" x14ac:dyDescent="0.2">
      <c r="C33">
        <v>19.083879707941648</v>
      </c>
      <c r="D33">
        <f t="shared" si="9"/>
        <v>136.2258527228328</v>
      </c>
      <c r="E33">
        <v>15.244519237492478</v>
      </c>
      <c r="F33">
        <f t="shared" si="10"/>
        <v>108.81946775281945</v>
      </c>
      <c r="G33">
        <v>17.887708357273176</v>
      </c>
      <c r="H33">
        <f t="shared" si="11"/>
        <v>127.6872607414746</v>
      </c>
      <c r="L33" s="6">
        <v>32.25</v>
      </c>
      <c r="M33">
        <v>7.308268</v>
      </c>
      <c r="N33">
        <v>35.525523773839737</v>
      </c>
      <c r="O33">
        <v>192.67495569756855</v>
      </c>
      <c r="P33">
        <v>0.111708</v>
      </c>
    </row>
    <row r="34" spans="3:16" x14ac:dyDescent="0.2">
      <c r="C34">
        <v>24.986409776091243</v>
      </c>
      <c r="D34">
        <f t="shared" si="9"/>
        <v>178.35969573910515</v>
      </c>
      <c r="E34">
        <v>19.983478507872096</v>
      </c>
      <c r="F34">
        <f t="shared" si="10"/>
        <v>142.64743027962092</v>
      </c>
      <c r="G34">
        <v>23.663601449735634</v>
      </c>
      <c r="H34">
        <f t="shared" si="11"/>
        <v>168.9171350541483</v>
      </c>
    </row>
    <row r="35" spans="3:16" x14ac:dyDescent="0.2">
      <c r="C35">
        <v>26.202801875996801</v>
      </c>
      <c r="D35">
        <f t="shared" si="9"/>
        <v>187.04262885285743</v>
      </c>
      <c r="E35">
        <v>23.854296473426079</v>
      </c>
      <c r="F35">
        <f t="shared" si="10"/>
        <v>170.27836728835806</v>
      </c>
      <c r="G35">
        <v>26.991834543672375</v>
      </c>
      <c r="H35">
        <f t="shared" si="11"/>
        <v>192.67495569756855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gDCW vs OD</vt:lpstr>
      <vt:lpstr>gDCW vs OD (2)</vt:lpstr>
      <vt:lpstr>fixedStirConversion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Cordell, William</dc:creator>
  <cp:lastModifiedBy>Ream, Julia</cp:lastModifiedBy>
  <dcterms:created xsi:type="dcterms:W3CDTF">2025-03-14T19:51:29Z</dcterms:created>
  <dcterms:modified xsi:type="dcterms:W3CDTF">2025-03-25T21:17:05Z</dcterms:modified>
</cp:coreProperties>
</file>