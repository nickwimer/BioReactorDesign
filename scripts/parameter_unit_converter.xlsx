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ream2/BioReactorDesign/scripts/"/>
    </mc:Choice>
  </mc:AlternateContent>
  <xr:revisionPtr revIDLastSave="0" documentId="13_ncr:1_{3EF58BB8-56E8-E14F-8F0C-CBD9052ED7D4}" xr6:coauthVersionLast="47" xr6:coauthVersionMax="47" xr10:uidLastSave="{00000000-0000-0000-0000-000000000000}"/>
  <bookViews>
    <workbookView minimized="1" xWindow="5000" yWindow="2340" windowWidth="27640" windowHeight="16940" xr2:uid="{4F4F63AE-B8D4-6B4A-81DE-774507056B2B}"/>
  </bookViews>
  <sheets>
    <sheet name="P. putida" sheetId="1" r:id="rId1"/>
    <sheet name="C. tyr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D11" i="2"/>
  <c r="D12" i="2"/>
  <c r="D13" i="2"/>
  <c r="D6" i="2"/>
  <c r="D10" i="2"/>
  <c r="D9" i="2"/>
  <c r="D8" i="2"/>
  <c r="D7" i="2"/>
  <c r="D14" i="2"/>
  <c r="D5" i="2"/>
  <c r="M4" i="2"/>
  <c r="M3" i="2"/>
  <c r="M2" i="2"/>
  <c r="D3" i="2" s="1"/>
  <c r="M4" i="1"/>
  <c r="M3" i="1"/>
  <c r="D6" i="1" s="1"/>
  <c r="M2" i="1"/>
  <c r="D3" i="1" s="1"/>
  <c r="D4" i="2" l="1"/>
  <c r="D2" i="2"/>
  <c r="D2" i="1"/>
  <c r="D5" i="1"/>
  <c r="D7" i="1" l="1"/>
</calcChain>
</file>

<file path=xl/sharedStrings.xml><?xml version="1.0" encoding="utf-8"?>
<sst xmlns="http://schemas.openxmlformats.org/spreadsheetml/2006/main" count="89" uniqueCount="45">
  <si>
    <t>MM parameter conversion</t>
  </si>
  <si>
    <t>mol. Weight</t>
  </si>
  <si>
    <t>g/mol</t>
  </si>
  <si>
    <t>kg/mol</t>
  </si>
  <si>
    <t>K_o</t>
  </si>
  <si>
    <t>g/L</t>
  </si>
  <si>
    <t>mol/m3</t>
  </si>
  <si>
    <t>glucose</t>
  </si>
  <si>
    <t>K_s</t>
  </si>
  <si>
    <t>oxygen</t>
  </si>
  <si>
    <t>q_max</t>
  </si>
  <si>
    <t>1/h</t>
  </si>
  <si>
    <t>kg/mol/h</t>
  </si>
  <si>
    <t>muconate</t>
  </si>
  <si>
    <t>Y_x/s</t>
  </si>
  <si>
    <t>gx/gs</t>
  </si>
  <si>
    <t xml:space="preserve">kg/mol </t>
  </si>
  <si>
    <t>Y_x/o</t>
  </si>
  <si>
    <t>gx/go</t>
  </si>
  <si>
    <t>Y_o/s</t>
  </si>
  <si>
    <t>mol/mol</t>
  </si>
  <si>
    <t>initial parameter file order; BDO values</t>
  </si>
  <si>
    <t>calc from exp.</t>
  </si>
  <si>
    <t>Y_m/s</t>
  </si>
  <si>
    <t>from Davinia</t>
  </si>
  <si>
    <t>paper scaling</t>
  </si>
  <si>
    <t>butyric acid</t>
  </si>
  <si>
    <t>acetic acid</t>
  </si>
  <si>
    <t>K_i</t>
  </si>
  <si>
    <t>P_d</t>
  </si>
  <si>
    <t>i</t>
  </si>
  <si>
    <t>Y_b/s</t>
  </si>
  <si>
    <t>Y_a/s</t>
  </si>
  <si>
    <t>m_s</t>
  </si>
  <si>
    <t>alpha_b</t>
  </si>
  <si>
    <t>beta_b</t>
  </si>
  <si>
    <t>alpha_a</t>
  </si>
  <si>
    <t>beta_a</t>
  </si>
  <si>
    <t>gb/gs</t>
  </si>
  <si>
    <t>ga/gs</t>
  </si>
  <si>
    <t>g/gDCW</t>
  </si>
  <si>
    <t>-</t>
  </si>
  <si>
    <t>g/gDCW/h</t>
  </si>
  <si>
    <t>mol/kg</t>
  </si>
  <si>
    <t>mol/kg/h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</si>
</sst>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F9A7D-DF48-0645-96D7-77D239CE1511}">
  <dimension ref="A1:M14"/>
  <sheetViews>
    <sheetView tabSelected="1" workbookViewId="0">
      <selection activeCell="D5" sqref="D5"/>
    </sheetView>
  </sheetViews>
  <sheetFormatPr baseColWidth="10" defaultRowHeight="16" x14ac:dyDescent="0.2"/>
  <sheetData>
    <row r="1" spans="1:13" x14ac:dyDescent="0.2">
      <c r="A1" t="s">
        <v>0</v>
      </c>
      <c r="K1" t="s">
        <v>1</v>
      </c>
      <c r="L1" t="s">
        <v>2</v>
      </c>
      <c r="M1" t="s">
        <v>3</v>
      </c>
    </row>
    <row r="2" spans="1:13" x14ac:dyDescent="0.2">
      <c r="A2" t="s">
        <v>4</v>
      </c>
      <c r="B2">
        <v>7.6999999999999996E-4</v>
      </c>
      <c r="C2" t="s">
        <v>5</v>
      </c>
      <c r="D2">
        <f>B2/M3</f>
        <v>2.4062499999999997E-2</v>
      </c>
      <c r="E2" t="s">
        <v>6</v>
      </c>
      <c r="K2" t="s">
        <v>7</v>
      </c>
      <c r="L2">
        <v>180.16</v>
      </c>
      <c r="M2">
        <f>L2/1000</f>
        <v>0.18015999999999999</v>
      </c>
    </row>
    <row r="3" spans="1:13" x14ac:dyDescent="0.2">
      <c r="A3" t="s">
        <v>8</v>
      </c>
      <c r="B3">
        <v>7.1999999999999995E-2</v>
      </c>
      <c r="C3" t="s">
        <v>5</v>
      </c>
      <c r="D3">
        <f>B3/M2</f>
        <v>0.39964476021314388</v>
      </c>
      <c r="E3" t="s">
        <v>6</v>
      </c>
      <c r="K3" t="s">
        <v>9</v>
      </c>
      <c r="L3">
        <v>32</v>
      </c>
      <c r="M3">
        <f t="shared" ref="M3:M4" si="0">L3/1000</f>
        <v>3.2000000000000001E-2</v>
      </c>
    </row>
    <row r="4" spans="1:13" x14ac:dyDescent="0.2">
      <c r="A4" t="s">
        <v>10</v>
      </c>
      <c r="B4">
        <v>0.67</v>
      </c>
      <c r="C4" t="s">
        <v>11</v>
      </c>
      <c r="D4">
        <f>B4/D5</f>
        <v>8.2642589303335328</v>
      </c>
      <c r="E4" t="s">
        <v>12</v>
      </c>
      <c r="K4" t="s">
        <v>13</v>
      </c>
      <c r="L4">
        <v>140.09</v>
      </c>
      <c r="M4">
        <f t="shared" si="0"/>
        <v>0.14008999999999999</v>
      </c>
    </row>
    <row r="5" spans="1:13" x14ac:dyDescent="0.2">
      <c r="A5" t="s">
        <v>14</v>
      </c>
      <c r="B5">
        <v>0.45</v>
      </c>
      <c r="C5" t="s">
        <v>15</v>
      </c>
      <c r="D5">
        <f>B5*M2</f>
        <v>8.1071999999999991E-2</v>
      </c>
      <c r="E5" t="s">
        <v>16</v>
      </c>
    </row>
    <row r="6" spans="1:13" x14ac:dyDescent="0.2">
      <c r="A6" t="s">
        <v>17</v>
      </c>
      <c r="B6">
        <v>1.2</v>
      </c>
      <c r="C6" t="s">
        <v>18</v>
      </c>
      <c r="D6">
        <f>B6*M3</f>
        <v>3.8399999999999997E-2</v>
      </c>
      <c r="E6" t="s">
        <v>3</v>
      </c>
    </row>
    <row r="7" spans="1:13" x14ac:dyDescent="0.2">
      <c r="A7" t="s">
        <v>19</v>
      </c>
      <c r="D7">
        <f>D5/D6</f>
        <v>2.1112500000000001</v>
      </c>
      <c r="E7" t="s">
        <v>20</v>
      </c>
    </row>
    <row r="8" spans="1:13" x14ac:dyDescent="0.2">
      <c r="A8" t="s">
        <v>21</v>
      </c>
    </row>
    <row r="9" spans="1:13" x14ac:dyDescent="0.2">
      <c r="A9" t="s">
        <v>10</v>
      </c>
      <c r="B9">
        <v>17</v>
      </c>
    </row>
    <row r="10" spans="1:13" x14ac:dyDescent="0.2">
      <c r="A10" t="s">
        <v>4</v>
      </c>
      <c r="B10">
        <v>2.1399999999999999E-2</v>
      </c>
    </row>
    <row r="11" spans="1:13" x14ac:dyDescent="0.2">
      <c r="A11" t="s">
        <v>14</v>
      </c>
      <c r="B11">
        <v>8.9999999999999993E-3</v>
      </c>
      <c r="D11">
        <v>1.2E-2</v>
      </c>
      <c r="E11" t="s">
        <v>22</v>
      </c>
    </row>
    <row r="12" spans="1:13" x14ac:dyDescent="0.2">
      <c r="A12" t="s">
        <v>23</v>
      </c>
      <c r="B12" s="1">
        <v>0.36</v>
      </c>
      <c r="C12" t="s">
        <v>24</v>
      </c>
      <c r="D12">
        <v>0.36</v>
      </c>
    </row>
    <row r="13" spans="1:13" x14ac:dyDescent="0.2">
      <c r="A13" t="s">
        <v>19</v>
      </c>
      <c r="B13">
        <v>4.6699999999999998E-2</v>
      </c>
      <c r="D13">
        <v>0.375</v>
      </c>
      <c r="E13" t="s">
        <v>25</v>
      </c>
      <c r="F13">
        <v>0.01</v>
      </c>
    </row>
    <row r="14" spans="1:13" x14ac:dyDescent="0.2">
      <c r="A14" t="s">
        <v>8</v>
      </c>
      <c r="B14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A6622-5508-2644-9299-FC7EA013C034}">
  <dimension ref="A1:M28"/>
  <sheetViews>
    <sheetView workbookViewId="0">
      <selection activeCell="M12" sqref="M12"/>
    </sheetView>
  </sheetViews>
  <sheetFormatPr baseColWidth="10" defaultRowHeight="16" x14ac:dyDescent="0.2"/>
  <sheetData>
    <row r="1" spans="1:13" x14ac:dyDescent="0.2">
      <c r="A1" t="s">
        <v>0</v>
      </c>
      <c r="K1" t="s">
        <v>1</v>
      </c>
      <c r="L1" t="s">
        <v>2</v>
      </c>
      <c r="M1" t="s">
        <v>3</v>
      </c>
    </row>
    <row r="2" spans="1:13" x14ac:dyDescent="0.2">
      <c r="A2" t="s">
        <v>10</v>
      </c>
      <c r="B2">
        <v>0.48</v>
      </c>
      <c r="C2" t="s">
        <v>11</v>
      </c>
      <c r="D2">
        <f>B2*D11</f>
        <v>6.9786777600000002E-2</v>
      </c>
      <c r="E2" t="s">
        <v>12</v>
      </c>
      <c r="K2" t="s">
        <v>7</v>
      </c>
      <c r="L2">
        <v>180.16</v>
      </c>
      <c r="M2">
        <f>L2/1000</f>
        <v>0.18015999999999999</v>
      </c>
    </row>
    <row r="3" spans="1:13" x14ac:dyDescent="0.2">
      <c r="A3" t="s">
        <v>8</v>
      </c>
      <c r="B3">
        <v>1.62</v>
      </c>
      <c r="C3" t="s">
        <v>5</v>
      </c>
      <c r="D3">
        <f>B3/M2</f>
        <v>8.9920071047957375</v>
      </c>
      <c r="E3" t="s">
        <v>6</v>
      </c>
      <c r="K3" t="s">
        <v>26</v>
      </c>
      <c r="L3">
        <v>88.01</v>
      </c>
      <c r="M3">
        <f t="shared" ref="M3:M4" si="0">L3/1000</f>
        <v>8.8010000000000005E-2</v>
      </c>
    </row>
    <row r="4" spans="1:13" x14ac:dyDescent="0.2">
      <c r="A4" t="s">
        <v>28</v>
      </c>
      <c r="B4">
        <v>372</v>
      </c>
      <c r="C4" t="s">
        <v>5</v>
      </c>
      <c r="D4">
        <f>B4/M2</f>
        <v>2064.8312611012434</v>
      </c>
      <c r="E4" t="s">
        <v>6</v>
      </c>
      <c r="K4" t="s">
        <v>27</v>
      </c>
      <c r="L4">
        <v>60.05</v>
      </c>
      <c r="M4">
        <f t="shared" si="0"/>
        <v>6.0049999999999999E-2</v>
      </c>
    </row>
    <row r="5" spans="1:13" x14ac:dyDescent="0.2">
      <c r="A5" t="s">
        <v>29</v>
      </c>
      <c r="B5">
        <v>48.3</v>
      </c>
      <c r="C5" t="s">
        <v>5</v>
      </c>
      <c r="D5">
        <f>B5/M3</f>
        <v>548.801272582661</v>
      </c>
      <c r="E5" t="s">
        <v>6</v>
      </c>
    </row>
    <row r="6" spans="1:13" x14ac:dyDescent="0.2">
      <c r="A6" t="s">
        <v>30</v>
      </c>
      <c r="B6">
        <v>5.18</v>
      </c>
      <c r="C6" t="s">
        <v>41</v>
      </c>
      <c r="D6">
        <f>B6</f>
        <v>5.18</v>
      </c>
    </row>
    <row r="7" spans="1:13" x14ac:dyDescent="0.2">
      <c r="A7" t="s">
        <v>34</v>
      </c>
      <c r="B7">
        <v>2.92</v>
      </c>
      <c r="C7" t="s">
        <v>40</v>
      </c>
      <c r="D7">
        <f>B7*1000/L3</f>
        <v>33.178047949096694</v>
      </c>
      <c r="E7" t="s">
        <v>43</v>
      </c>
    </row>
    <row r="8" spans="1:13" x14ac:dyDescent="0.2">
      <c r="A8" t="s">
        <v>35</v>
      </c>
      <c r="B8">
        <v>5.7000000000000002E-2</v>
      </c>
      <c r="C8" t="s">
        <v>42</v>
      </c>
      <c r="D8">
        <f>B8*1000/L3</f>
        <v>0.64765367571866828</v>
      </c>
      <c r="E8" t="s">
        <v>44</v>
      </c>
    </row>
    <row r="9" spans="1:13" x14ac:dyDescent="0.2">
      <c r="A9" t="s">
        <v>36</v>
      </c>
      <c r="B9">
        <v>0.72</v>
      </c>
      <c r="C9" t="s">
        <v>40</v>
      </c>
      <c r="D9">
        <f>B9*1000/L4</f>
        <v>11.990008326394671</v>
      </c>
      <c r="E9" t="s">
        <v>43</v>
      </c>
    </row>
    <row r="10" spans="1:13" x14ac:dyDescent="0.2">
      <c r="A10" t="s">
        <v>37</v>
      </c>
      <c r="B10">
        <v>0</v>
      </c>
      <c r="C10" t="s">
        <v>42</v>
      </c>
      <c r="D10">
        <f>B10*1000/L4</f>
        <v>0</v>
      </c>
      <c r="E10" t="s">
        <v>44</v>
      </c>
    </row>
    <row r="11" spans="1:13" x14ac:dyDescent="0.2">
      <c r="A11" t="s">
        <v>14</v>
      </c>
      <c r="B11">
        <v>0.80700000000000005</v>
      </c>
      <c r="C11" t="s">
        <v>15</v>
      </c>
      <c r="D11">
        <f>B11/1000*L2</f>
        <v>0.14538912000000001</v>
      </c>
      <c r="E11" t="s">
        <v>16</v>
      </c>
    </row>
    <row r="12" spans="1:13" x14ac:dyDescent="0.2">
      <c r="A12" t="s">
        <v>31</v>
      </c>
      <c r="B12">
        <v>0.97799999999999998</v>
      </c>
      <c r="C12" t="s">
        <v>38</v>
      </c>
      <c r="D12">
        <f>B12/L3*L2</f>
        <v>2.0020052266787864</v>
      </c>
      <c r="E12" t="s">
        <v>20</v>
      </c>
    </row>
    <row r="13" spans="1:13" x14ac:dyDescent="0.2">
      <c r="A13" t="s">
        <v>32</v>
      </c>
      <c r="B13">
        <v>0.999</v>
      </c>
      <c r="C13" t="s">
        <v>39</v>
      </c>
      <c r="D13">
        <f>B13/L4*L2</f>
        <v>2.9971663613655291</v>
      </c>
      <c r="E13" t="s">
        <v>20</v>
      </c>
    </row>
    <row r="14" spans="1:13" x14ac:dyDescent="0.2">
      <c r="A14" t="s">
        <v>33</v>
      </c>
      <c r="B14">
        <v>2E-3</v>
      </c>
      <c r="C14" t="s">
        <v>11</v>
      </c>
      <c r="D14">
        <f>B14*D11</f>
        <v>2.9077824000000002E-4</v>
      </c>
      <c r="E14" t="s">
        <v>12</v>
      </c>
    </row>
    <row r="22" spans="1:6" x14ac:dyDescent="0.2">
      <c r="A22" t="s">
        <v>21</v>
      </c>
    </row>
    <row r="23" spans="1:6" x14ac:dyDescent="0.2">
      <c r="A23" t="s">
        <v>10</v>
      </c>
    </row>
    <row r="24" spans="1:6" x14ac:dyDescent="0.2">
      <c r="A24" t="s">
        <v>4</v>
      </c>
    </row>
    <row r="25" spans="1:6" x14ac:dyDescent="0.2">
      <c r="A25" t="s">
        <v>14</v>
      </c>
      <c r="D25">
        <v>1.2E-2</v>
      </c>
      <c r="E25" t="s">
        <v>22</v>
      </c>
    </row>
    <row r="26" spans="1:6" x14ac:dyDescent="0.2">
      <c r="A26" t="s">
        <v>23</v>
      </c>
      <c r="B26" s="1"/>
      <c r="C26" t="s">
        <v>24</v>
      </c>
      <c r="D26">
        <v>0.36</v>
      </c>
    </row>
    <row r="27" spans="1:6" x14ac:dyDescent="0.2">
      <c r="A27" t="s">
        <v>19</v>
      </c>
      <c r="D27">
        <v>0.375</v>
      </c>
      <c r="E27" t="s">
        <v>25</v>
      </c>
      <c r="F27">
        <v>0.01</v>
      </c>
    </row>
    <row r="28" spans="1:6" x14ac:dyDescent="0.2">
      <c r="A28" t="s">
        <v>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P. putida</vt:lpstr>
      <vt:lpstr>C. tyro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Ream, Julia</dc:creator>
  <cp:lastModifiedBy>Ream, Julia</cp:lastModifiedBy>
  <dcterms:created xsi:type="dcterms:W3CDTF">2025-10-27T23:18:43Z</dcterms:created>
  <dcterms:modified xsi:type="dcterms:W3CDTF">2025-11-06T16:36:10Z</dcterms:modified>
</cp:coreProperties>
</file>